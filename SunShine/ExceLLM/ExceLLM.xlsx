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E:\Cyber Security\CTF\SunShine\ExceLLM\"/>
    </mc:Choice>
  </mc:AlternateContent>
  <xr:revisionPtr revIDLastSave="0" documentId="13_ncr:1_{8463332C-43FD-49F5-9103-0489ABC93312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LLM" sheetId="1" r:id="rId1"/>
    <sheet name="BITS" sheetId="2" r:id="rId2"/>
    <sheet name="WEIGHTS" sheetId="3" r:id="rId3"/>
    <sheet name="VERIFY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17" i="2" l="1"/>
  <c r="B216" i="2"/>
  <c r="B215" i="2"/>
  <c r="B214" i="2"/>
  <c r="B213" i="2"/>
  <c r="B212" i="2"/>
  <c r="B211" i="2"/>
  <c r="B210" i="2"/>
  <c r="C537" i="4" s="1"/>
  <c r="B209" i="2"/>
  <c r="B208" i="2"/>
  <c r="B207" i="2"/>
  <c r="B206" i="2"/>
  <c r="B205" i="2"/>
  <c r="B204" i="2"/>
  <c r="B203" i="2"/>
  <c r="B202" i="2"/>
  <c r="C514" i="4" s="1"/>
  <c r="B201" i="2"/>
  <c r="B200" i="2"/>
  <c r="B199" i="2"/>
  <c r="B198" i="2"/>
  <c r="B197" i="2"/>
  <c r="B196" i="2"/>
  <c r="B195" i="2"/>
  <c r="B194" i="2"/>
  <c r="C491" i="4" s="1"/>
  <c r="B193" i="2"/>
  <c r="B192" i="2"/>
  <c r="B191" i="2"/>
  <c r="B190" i="2"/>
  <c r="B189" i="2"/>
  <c r="B188" i="2"/>
  <c r="B187" i="2"/>
  <c r="B186" i="2"/>
  <c r="C477" i="4" s="1"/>
  <c r="B185" i="2"/>
  <c r="B184" i="2"/>
  <c r="B183" i="2"/>
  <c r="B182" i="2"/>
  <c r="B181" i="2"/>
  <c r="B180" i="2"/>
  <c r="B179" i="2"/>
  <c r="B178" i="2"/>
  <c r="C457" i="4" s="1"/>
  <c r="B177" i="2"/>
  <c r="B176" i="2"/>
  <c r="B175" i="2"/>
  <c r="B174" i="2"/>
  <c r="B173" i="2"/>
  <c r="B172" i="2"/>
  <c r="B171" i="2"/>
  <c r="B170" i="2"/>
  <c r="C434" i="4" s="1"/>
  <c r="B169" i="2"/>
  <c r="B168" i="2"/>
  <c r="B167" i="2"/>
  <c r="B166" i="2"/>
  <c r="B165" i="2"/>
  <c r="B164" i="2"/>
  <c r="B163" i="2"/>
  <c r="B162" i="2"/>
  <c r="C411" i="4" s="1"/>
  <c r="B161" i="2"/>
  <c r="B160" i="2"/>
  <c r="B159" i="2"/>
  <c r="B158" i="2"/>
  <c r="B157" i="2"/>
  <c r="B156" i="2"/>
  <c r="B155" i="2"/>
  <c r="B154" i="2"/>
  <c r="C397" i="4" s="1"/>
  <c r="B153" i="2"/>
  <c r="B152" i="2"/>
  <c r="B151" i="2"/>
  <c r="B150" i="2"/>
  <c r="B149" i="2"/>
  <c r="B148" i="2"/>
  <c r="B147" i="2"/>
  <c r="B146" i="2"/>
  <c r="C377" i="4" s="1"/>
  <c r="B145" i="2"/>
  <c r="B144" i="2"/>
  <c r="B143" i="2"/>
  <c r="B142" i="2"/>
  <c r="B141" i="2"/>
  <c r="B140" i="2"/>
  <c r="B139" i="2"/>
  <c r="B138" i="2"/>
  <c r="C354" i="4" s="1"/>
  <c r="B137" i="2"/>
  <c r="B136" i="2"/>
  <c r="B135" i="2"/>
  <c r="B134" i="2"/>
  <c r="B133" i="2"/>
  <c r="B132" i="2"/>
  <c r="B131" i="2"/>
  <c r="B130" i="2"/>
  <c r="C331" i="4" s="1"/>
  <c r="B129" i="2"/>
  <c r="B128" i="2"/>
  <c r="B127" i="2"/>
  <c r="B126" i="2"/>
  <c r="B125" i="2"/>
  <c r="B124" i="2"/>
  <c r="B123" i="2"/>
  <c r="B122" i="2"/>
  <c r="C317" i="4" s="1"/>
  <c r="B121" i="2"/>
  <c r="B120" i="2"/>
  <c r="B119" i="2"/>
  <c r="B118" i="2"/>
  <c r="B117" i="2"/>
  <c r="B116" i="2"/>
  <c r="B115" i="2"/>
  <c r="B114" i="2"/>
  <c r="C297" i="4" s="1"/>
  <c r="B113" i="2"/>
  <c r="B112" i="2"/>
  <c r="B111" i="2"/>
  <c r="B110" i="2"/>
  <c r="B109" i="2"/>
  <c r="B108" i="2"/>
  <c r="B107" i="2"/>
  <c r="B106" i="2"/>
  <c r="C274" i="4" s="1"/>
  <c r="B105" i="2"/>
  <c r="B104" i="2"/>
  <c r="B103" i="2"/>
  <c r="B102" i="2"/>
  <c r="B101" i="2"/>
  <c r="B100" i="2"/>
  <c r="B99" i="2"/>
  <c r="B98" i="2"/>
  <c r="C251" i="4" s="1"/>
  <c r="B97" i="2"/>
  <c r="B96" i="2"/>
  <c r="B95" i="2"/>
  <c r="B94" i="2"/>
  <c r="B93" i="2"/>
  <c r="B92" i="2"/>
  <c r="B91" i="2"/>
  <c r="B90" i="2"/>
  <c r="C237" i="4" s="1"/>
  <c r="B89" i="2"/>
  <c r="B88" i="2"/>
  <c r="B87" i="2"/>
  <c r="B86" i="2"/>
  <c r="B85" i="2"/>
  <c r="B84" i="2"/>
  <c r="B83" i="2"/>
  <c r="B82" i="2"/>
  <c r="C217" i="4" s="1"/>
  <c r="B81" i="2"/>
  <c r="B80" i="2"/>
  <c r="B79" i="2"/>
  <c r="B78" i="2"/>
  <c r="B77" i="2"/>
  <c r="B76" i="2"/>
  <c r="B75" i="2"/>
  <c r="B74" i="2"/>
  <c r="C194" i="4" s="1"/>
  <c r="B73" i="2"/>
  <c r="B72" i="2"/>
  <c r="B71" i="2"/>
  <c r="B70" i="2"/>
  <c r="B69" i="2"/>
  <c r="B68" i="2"/>
  <c r="B67" i="2"/>
  <c r="B66" i="2"/>
  <c r="C171" i="4" s="1"/>
  <c r="B65" i="2"/>
  <c r="B64" i="2"/>
  <c r="B63" i="2"/>
  <c r="B62" i="2"/>
  <c r="B61" i="2"/>
  <c r="B60" i="2"/>
  <c r="B59" i="2"/>
  <c r="B58" i="2"/>
  <c r="C157" i="4" s="1"/>
  <c r="B57" i="2"/>
  <c r="B56" i="2"/>
  <c r="B55" i="2"/>
  <c r="B54" i="2"/>
  <c r="B53" i="2"/>
  <c r="B52" i="2"/>
  <c r="B51" i="2"/>
  <c r="B50" i="2"/>
  <c r="C137" i="4" s="1"/>
  <c r="B49" i="2"/>
  <c r="B48" i="2"/>
  <c r="B47" i="2"/>
  <c r="B46" i="2"/>
  <c r="B45" i="2"/>
  <c r="B44" i="2"/>
  <c r="B43" i="2"/>
  <c r="B42" i="2"/>
  <c r="C114" i="4" s="1"/>
  <c r="B41" i="2"/>
  <c r="B40" i="2"/>
  <c r="B39" i="2"/>
  <c r="B38" i="2"/>
  <c r="B37" i="2"/>
  <c r="B36" i="2"/>
  <c r="B35" i="2"/>
  <c r="B34" i="2"/>
  <c r="C91" i="4" s="1"/>
  <c r="B33" i="2"/>
  <c r="B32" i="2"/>
  <c r="B31" i="2"/>
  <c r="B30" i="2"/>
  <c r="B29" i="2"/>
  <c r="B28" i="2"/>
  <c r="B27" i="2"/>
  <c r="B26" i="2"/>
  <c r="C77" i="4" s="1"/>
  <c r="B25" i="2"/>
  <c r="B24" i="2"/>
  <c r="B23" i="2"/>
  <c r="B22" i="2"/>
  <c r="B21" i="2"/>
  <c r="B20" i="2"/>
  <c r="B19" i="2"/>
  <c r="B18" i="2"/>
  <c r="C57" i="4" s="1"/>
  <c r="B17" i="2"/>
  <c r="B16" i="2"/>
  <c r="B15" i="2"/>
  <c r="B14" i="2"/>
  <c r="B13" i="2"/>
  <c r="B12" i="2"/>
  <c r="B11" i="2"/>
  <c r="B10" i="2"/>
  <c r="C34" i="4" s="1"/>
  <c r="B9" i="2"/>
  <c r="B8" i="2"/>
  <c r="B7" i="2"/>
  <c r="B6" i="2"/>
  <c r="B5" i="2"/>
  <c r="B4" i="2"/>
  <c r="B3" i="2"/>
  <c r="B2" i="2"/>
  <c r="C11" i="4" s="1"/>
  <c r="C12" i="4" l="1"/>
  <c r="C35" i="4"/>
  <c r="C70" i="4"/>
  <c r="H70" i="4" s="1"/>
  <c r="C92" i="4"/>
  <c r="C115" i="4"/>
  <c r="C150" i="4"/>
  <c r="H150" i="4" s="1"/>
  <c r="C172" i="4"/>
  <c r="C195" i="4"/>
  <c r="C230" i="4"/>
  <c r="H230" i="4" s="1"/>
  <c r="C252" i="4"/>
  <c r="C275" i="4"/>
  <c r="C310" i="4"/>
  <c r="H310" i="4" s="1"/>
  <c r="C332" i="4"/>
  <c r="C355" i="4"/>
  <c r="C390" i="4"/>
  <c r="H390" i="4" s="1"/>
  <c r="C412" i="4"/>
  <c r="C435" i="4"/>
  <c r="C470" i="4"/>
  <c r="H470" i="4" s="1"/>
  <c r="C492" i="4"/>
  <c r="C515" i="4"/>
  <c r="C13" i="4"/>
  <c r="C36" i="4"/>
  <c r="C93" i="4"/>
  <c r="C116" i="4"/>
  <c r="C173" i="4"/>
  <c r="C196" i="4"/>
  <c r="C253" i="4"/>
  <c r="C276" i="4"/>
  <c r="C333" i="4"/>
  <c r="C356" i="4"/>
  <c r="C413" i="4"/>
  <c r="C436" i="4"/>
  <c r="C493" i="4"/>
  <c r="C516" i="4"/>
  <c r="C14" i="4"/>
  <c r="C37" i="4"/>
  <c r="C71" i="4"/>
  <c r="C94" i="4"/>
  <c r="C117" i="4"/>
  <c r="C151" i="4"/>
  <c r="C174" i="4"/>
  <c r="C197" i="4"/>
  <c r="C231" i="4"/>
  <c r="C254" i="4"/>
  <c r="C277" i="4"/>
  <c r="C311" i="4"/>
  <c r="C334" i="4"/>
  <c r="C357" i="4"/>
  <c r="C391" i="4"/>
  <c r="C414" i="4"/>
  <c r="C437" i="4"/>
  <c r="C471" i="4"/>
  <c r="C494" i="4"/>
  <c r="C517" i="4"/>
  <c r="C15" i="4"/>
  <c r="C50" i="4"/>
  <c r="H50" i="4" s="1"/>
  <c r="C72" i="4"/>
  <c r="C95" i="4"/>
  <c r="C130" i="4"/>
  <c r="H130" i="4" s="1"/>
  <c r="C152" i="4"/>
  <c r="C175" i="4"/>
  <c r="C210" i="4"/>
  <c r="H210" i="4" s="1"/>
  <c r="C232" i="4"/>
  <c r="C255" i="4"/>
  <c r="C290" i="4"/>
  <c r="H290" i="4" s="1"/>
  <c r="C312" i="4"/>
  <c r="C335" i="4"/>
  <c r="C370" i="4"/>
  <c r="H370" i="4" s="1"/>
  <c r="C392" i="4"/>
  <c r="C415" i="4"/>
  <c r="C450" i="4"/>
  <c r="H450" i="4" s="1"/>
  <c r="C472" i="4"/>
  <c r="C495" i="4"/>
  <c r="C530" i="4"/>
  <c r="H530" i="4" s="1"/>
  <c r="C16" i="4"/>
  <c r="C73" i="4"/>
  <c r="C96" i="4"/>
  <c r="C153" i="4"/>
  <c r="C176" i="4"/>
  <c r="C233" i="4"/>
  <c r="C256" i="4"/>
  <c r="C313" i="4"/>
  <c r="C336" i="4"/>
  <c r="C393" i="4"/>
  <c r="C416" i="4"/>
  <c r="C473" i="4"/>
  <c r="C496" i="4"/>
  <c r="C17" i="4"/>
  <c r="C51" i="4"/>
  <c r="C74" i="4"/>
  <c r="C97" i="4"/>
  <c r="C131" i="4"/>
  <c r="C154" i="4"/>
  <c r="C177" i="4"/>
  <c r="C211" i="4"/>
  <c r="C234" i="4"/>
  <c r="C257" i="4"/>
  <c r="C291" i="4"/>
  <c r="C314" i="4"/>
  <c r="C337" i="4"/>
  <c r="C371" i="4"/>
  <c r="C394" i="4"/>
  <c r="C417" i="4"/>
  <c r="C451" i="4"/>
  <c r="C474" i="4"/>
  <c r="C497" i="4"/>
  <c r="C531" i="4"/>
  <c r="C30" i="4"/>
  <c r="H30" i="4" s="1"/>
  <c r="C52" i="4"/>
  <c r="C75" i="4"/>
  <c r="C110" i="4"/>
  <c r="H110" i="4" s="1"/>
  <c r="C132" i="4"/>
  <c r="C155" i="4"/>
  <c r="C190" i="4"/>
  <c r="H190" i="4" s="1"/>
  <c r="C212" i="4"/>
  <c r="C235" i="4"/>
  <c r="C270" i="4"/>
  <c r="H270" i="4" s="1"/>
  <c r="C292" i="4"/>
  <c r="C315" i="4"/>
  <c r="C350" i="4"/>
  <c r="H350" i="4" s="1"/>
  <c r="C372" i="4"/>
  <c r="C395" i="4"/>
  <c r="C430" i="4"/>
  <c r="H430" i="4" s="1"/>
  <c r="C452" i="4"/>
  <c r="C475" i="4"/>
  <c r="C510" i="4"/>
  <c r="H510" i="4" s="1"/>
  <c r="C532" i="4"/>
  <c r="C53" i="4"/>
  <c r="C76" i="4"/>
  <c r="C133" i="4"/>
  <c r="C156" i="4"/>
  <c r="C213" i="4"/>
  <c r="C236" i="4"/>
  <c r="C293" i="4"/>
  <c r="C316" i="4"/>
  <c r="C373" i="4"/>
  <c r="C396" i="4"/>
  <c r="C453" i="4"/>
  <c r="C476" i="4"/>
  <c r="C533" i="4"/>
  <c r="C31" i="4"/>
  <c r="C54" i="4"/>
  <c r="C111" i="4"/>
  <c r="C134" i="4"/>
  <c r="C191" i="4"/>
  <c r="C214" i="4"/>
  <c r="C271" i="4"/>
  <c r="C294" i="4"/>
  <c r="C351" i="4"/>
  <c r="C374" i="4"/>
  <c r="C431" i="4"/>
  <c r="C454" i="4"/>
  <c r="C511" i="4"/>
  <c r="C534" i="4"/>
  <c r="C10" i="4"/>
  <c r="H10" i="4" s="1"/>
  <c r="Z1" i="4" s="1"/>
  <c r="B3" i="1" s="1"/>
  <c r="C32" i="4"/>
  <c r="C55" i="4"/>
  <c r="C90" i="4"/>
  <c r="H90" i="4" s="1"/>
  <c r="C112" i="4"/>
  <c r="C135" i="4"/>
  <c r="C170" i="4"/>
  <c r="H170" i="4" s="1"/>
  <c r="C192" i="4"/>
  <c r="C215" i="4"/>
  <c r="C250" i="4"/>
  <c r="H250" i="4" s="1"/>
  <c r="C272" i="4"/>
  <c r="C295" i="4"/>
  <c r="C330" i="4"/>
  <c r="H330" i="4" s="1"/>
  <c r="C352" i="4"/>
  <c r="C375" i="4"/>
  <c r="C410" i="4"/>
  <c r="H410" i="4" s="1"/>
  <c r="C432" i="4"/>
  <c r="C455" i="4"/>
  <c r="C490" i="4"/>
  <c r="H490" i="4" s="1"/>
  <c r="C512" i="4"/>
  <c r="C535" i="4"/>
  <c r="C33" i="4"/>
  <c r="C56" i="4"/>
  <c r="C113" i="4"/>
  <c r="C136" i="4"/>
  <c r="C193" i="4"/>
  <c r="C216" i="4"/>
  <c r="C273" i="4"/>
  <c r="C296" i="4"/>
  <c r="C353" i="4"/>
  <c r="C376" i="4"/>
  <c r="C433" i="4"/>
  <c r="C456" i="4"/>
  <c r="C513" i="4"/>
  <c r="C536" i="4"/>
</calcChain>
</file>

<file path=xl/sharedStrings.xml><?xml version="1.0" encoding="utf-8"?>
<sst xmlns="http://schemas.openxmlformats.org/spreadsheetml/2006/main" count="2" uniqueCount="2">
  <si>
    <t>Enter flag:</t>
  </si>
  <si>
    <t>Result: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</si>
</sst>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3"/>
  <sheetViews>
    <sheetView tabSelected="1" zoomScaleNormal="100" workbookViewId="0">
      <selection activeCell="B3" sqref="B3"/>
    </sheetView>
  </sheetViews>
  <sheetFormatPr defaultColWidth="8.5703125" defaultRowHeight="15" x14ac:dyDescent="0.25"/>
  <cols>
    <col min="1" max="1" width="20.5703125" customWidth="1"/>
    <col min="2" max="2" width="36.28515625" customWidth="1"/>
  </cols>
  <sheetData>
    <row r="1" spans="1:2" x14ac:dyDescent="0.25">
      <c r="A1" s="1"/>
    </row>
    <row r="2" spans="1:2" x14ac:dyDescent="0.25">
      <c r="A2" s="1" t="s">
        <v>0</v>
      </c>
    </row>
    <row r="3" spans="1:2" x14ac:dyDescent="0.25">
      <c r="A3" s="1" t="s">
        <v>1</v>
      </c>
      <c r="B3" t="e">
        <f ca="1">IF(VERIFY!Z1=1,"✅ Correct","❌ Incorrect")</f>
        <v>#NAME?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2:B217"/>
  <sheetViews>
    <sheetView zoomScaleNormal="100" workbookViewId="0"/>
  </sheetViews>
  <sheetFormatPr defaultColWidth="8.5703125" defaultRowHeight="15" x14ac:dyDescent="0.25"/>
  <sheetData>
    <row r="2" spans="2:2" x14ac:dyDescent="0.25">
      <c r="B2" t="e">
        <f ca="1">MOD(com.sun.star.sheet.addin.Analysis.getQuotient(IFERROR(CODE(MID(LLM!B2,1,1)),0),2^7),2)</f>
        <v>#NAME?</v>
      </c>
    </row>
    <row r="3" spans="2:2" x14ac:dyDescent="0.25">
      <c r="B3" t="e">
        <f ca="1">MOD(com.sun.star.sheet.addin.Analysis.getQuotient(IFERROR(CODE(MID(LLM!B2,1,1)),0),2^6),2)</f>
        <v>#NAME?</v>
      </c>
    </row>
    <row r="4" spans="2:2" x14ac:dyDescent="0.25">
      <c r="B4" t="e">
        <f ca="1">MOD(com.sun.star.sheet.addin.Analysis.getQuotient(IFERROR(CODE(MID(LLM!B2,1,1)),0),2^5),2)</f>
        <v>#NAME?</v>
      </c>
    </row>
    <row r="5" spans="2:2" x14ac:dyDescent="0.25">
      <c r="B5" t="e">
        <f ca="1">MOD(com.sun.star.sheet.addin.Analysis.getQuotient(IFERROR(CODE(MID(LLM!B2,1,1)),0),2^4),2)</f>
        <v>#NAME?</v>
      </c>
    </row>
    <row r="6" spans="2:2" x14ac:dyDescent="0.25">
      <c r="B6" t="e">
        <f ca="1">MOD(com.sun.star.sheet.addin.Analysis.getQuotient(IFERROR(CODE(MID(LLM!B2,1,1)),0),2^3),2)</f>
        <v>#NAME?</v>
      </c>
    </row>
    <row r="7" spans="2:2" x14ac:dyDescent="0.25">
      <c r="B7" t="e">
        <f ca="1">MOD(com.sun.star.sheet.addin.Analysis.getQuotient(IFERROR(CODE(MID(LLM!B2,1,1)),0),2^2),2)</f>
        <v>#NAME?</v>
      </c>
    </row>
    <row r="8" spans="2:2" x14ac:dyDescent="0.25">
      <c r="B8" t="e">
        <f ca="1">MOD(com.sun.star.sheet.addin.Analysis.getQuotient(IFERROR(CODE(MID(LLM!B2,1,1)),0),2^1),2)</f>
        <v>#NAME?</v>
      </c>
    </row>
    <row r="9" spans="2:2" x14ac:dyDescent="0.25">
      <c r="B9" t="e">
        <f ca="1">MOD(com.sun.star.sheet.addin.Analysis.getQuotient(IFERROR(CODE(MID(LLM!B2,1,1)),0),2^0),2)</f>
        <v>#NAME?</v>
      </c>
    </row>
    <row r="10" spans="2:2" x14ac:dyDescent="0.25">
      <c r="B10" t="e">
        <f ca="1">MOD(com.sun.star.sheet.addin.Analysis.getQuotient(IFERROR(CODE(MID(LLM!B2,2,1)),0),2^7),2)</f>
        <v>#NAME?</v>
      </c>
    </row>
    <row r="11" spans="2:2" x14ac:dyDescent="0.25">
      <c r="B11" t="e">
        <f ca="1">MOD(com.sun.star.sheet.addin.Analysis.getQuotient(IFERROR(CODE(MID(LLM!B2,2,1)),0),2^6),2)</f>
        <v>#NAME?</v>
      </c>
    </row>
    <row r="12" spans="2:2" x14ac:dyDescent="0.25">
      <c r="B12" t="e">
        <f ca="1">MOD(com.sun.star.sheet.addin.Analysis.getQuotient(IFERROR(CODE(MID(LLM!B2,2,1)),0),2^5),2)</f>
        <v>#NAME?</v>
      </c>
    </row>
    <row r="13" spans="2:2" x14ac:dyDescent="0.25">
      <c r="B13" t="e">
        <f ca="1">MOD(com.sun.star.sheet.addin.Analysis.getQuotient(IFERROR(CODE(MID(LLM!B2,2,1)),0),2^4),2)</f>
        <v>#NAME?</v>
      </c>
    </row>
    <row r="14" spans="2:2" x14ac:dyDescent="0.25">
      <c r="B14" t="e">
        <f ca="1">MOD(com.sun.star.sheet.addin.Analysis.getQuotient(IFERROR(CODE(MID(LLM!B2,2,1)),0),2^3),2)</f>
        <v>#NAME?</v>
      </c>
    </row>
    <row r="15" spans="2:2" x14ac:dyDescent="0.25">
      <c r="B15" t="e">
        <f ca="1">MOD(com.sun.star.sheet.addin.Analysis.getQuotient(IFERROR(CODE(MID(LLM!B2,2,1)),0),2^2),2)</f>
        <v>#NAME?</v>
      </c>
    </row>
    <row r="16" spans="2:2" x14ac:dyDescent="0.25">
      <c r="B16" t="e">
        <f ca="1">MOD(com.sun.star.sheet.addin.Analysis.getQuotient(IFERROR(CODE(MID(LLM!B2,2,1)),0),2^1),2)</f>
        <v>#NAME?</v>
      </c>
    </row>
    <row r="17" spans="2:2" x14ac:dyDescent="0.25">
      <c r="B17" t="e">
        <f ca="1">MOD(com.sun.star.sheet.addin.Analysis.getQuotient(IFERROR(CODE(MID(LLM!B2,2,1)),0),2^0),2)</f>
        <v>#NAME?</v>
      </c>
    </row>
    <row r="18" spans="2:2" x14ac:dyDescent="0.25">
      <c r="B18" t="e">
        <f ca="1">MOD(com.sun.star.sheet.addin.Analysis.getQuotient(IFERROR(CODE(MID(LLM!B2,3,1)),0),2^7),2)</f>
        <v>#NAME?</v>
      </c>
    </row>
    <row r="19" spans="2:2" x14ac:dyDescent="0.25">
      <c r="B19" t="e">
        <f ca="1">MOD(com.sun.star.sheet.addin.Analysis.getQuotient(IFERROR(CODE(MID(LLM!B2,3,1)),0),2^6),2)</f>
        <v>#NAME?</v>
      </c>
    </row>
    <row r="20" spans="2:2" x14ac:dyDescent="0.25">
      <c r="B20" t="e">
        <f ca="1">MOD(com.sun.star.sheet.addin.Analysis.getQuotient(IFERROR(CODE(MID(LLM!B2,3,1)),0),2^5),2)</f>
        <v>#NAME?</v>
      </c>
    </row>
    <row r="21" spans="2:2" x14ac:dyDescent="0.25">
      <c r="B21" t="e">
        <f ca="1">MOD(com.sun.star.sheet.addin.Analysis.getQuotient(IFERROR(CODE(MID(LLM!B2,3,1)),0),2^4),2)</f>
        <v>#NAME?</v>
      </c>
    </row>
    <row r="22" spans="2:2" x14ac:dyDescent="0.25">
      <c r="B22" t="e">
        <f ca="1">MOD(com.sun.star.sheet.addin.Analysis.getQuotient(IFERROR(CODE(MID(LLM!B2,3,1)),0),2^3),2)</f>
        <v>#NAME?</v>
      </c>
    </row>
    <row r="23" spans="2:2" x14ac:dyDescent="0.25">
      <c r="B23" t="e">
        <f ca="1">MOD(com.sun.star.sheet.addin.Analysis.getQuotient(IFERROR(CODE(MID(LLM!B2,3,1)),0),2^2),2)</f>
        <v>#NAME?</v>
      </c>
    </row>
    <row r="24" spans="2:2" x14ac:dyDescent="0.25">
      <c r="B24" t="e">
        <f ca="1">MOD(com.sun.star.sheet.addin.Analysis.getQuotient(IFERROR(CODE(MID(LLM!B2,3,1)),0),2^1),2)</f>
        <v>#NAME?</v>
      </c>
    </row>
    <row r="25" spans="2:2" x14ac:dyDescent="0.25">
      <c r="B25" t="e">
        <f ca="1">MOD(com.sun.star.sheet.addin.Analysis.getQuotient(IFERROR(CODE(MID(LLM!B2,3,1)),0),2^0),2)</f>
        <v>#NAME?</v>
      </c>
    </row>
    <row r="26" spans="2:2" x14ac:dyDescent="0.25">
      <c r="B26" t="e">
        <f ca="1">MOD(com.sun.star.sheet.addin.Analysis.getQuotient(IFERROR(CODE(MID(LLM!B2,4,1)),0),2^7),2)</f>
        <v>#NAME?</v>
      </c>
    </row>
    <row r="27" spans="2:2" x14ac:dyDescent="0.25">
      <c r="B27" t="e">
        <f ca="1">MOD(com.sun.star.sheet.addin.Analysis.getQuotient(IFERROR(CODE(MID(LLM!B2,4,1)),0),2^6),2)</f>
        <v>#NAME?</v>
      </c>
    </row>
    <row r="28" spans="2:2" x14ac:dyDescent="0.25">
      <c r="B28" t="e">
        <f ca="1">MOD(com.sun.star.sheet.addin.Analysis.getQuotient(IFERROR(CODE(MID(LLM!B2,4,1)),0),2^5),2)</f>
        <v>#NAME?</v>
      </c>
    </row>
    <row r="29" spans="2:2" x14ac:dyDescent="0.25">
      <c r="B29" t="e">
        <f ca="1">MOD(com.sun.star.sheet.addin.Analysis.getQuotient(IFERROR(CODE(MID(LLM!B2,4,1)),0),2^4),2)</f>
        <v>#NAME?</v>
      </c>
    </row>
    <row r="30" spans="2:2" x14ac:dyDescent="0.25">
      <c r="B30" t="e">
        <f ca="1">MOD(com.sun.star.sheet.addin.Analysis.getQuotient(IFERROR(CODE(MID(LLM!B2,4,1)),0),2^3),2)</f>
        <v>#NAME?</v>
      </c>
    </row>
    <row r="31" spans="2:2" x14ac:dyDescent="0.25">
      <c r="B31" t="e">
        <f ca="1">MOD(com.sun.star.sheet.addin.Analysis.getQuotient(IFERROR(CODE(MID(LLM!B2,4,1)),0),2^2),2)</f>
        <v>#NAME?</v>
      </c>
    </row>
    <row r="32" spans="2:2" x14ac:dyDescent="0.25">
      <c r="B32" t="e">
        <f ca="1">MOD(com.sun.star.sheet.addin.Analysis.getQuotient(IFERROR(CODE(MID(LLM!B2,4,1)),0),2^1),2)</f>
        <v>#NAME?</v>
      </c>
    </row>
    <row r="33" spans="2:2" x14ac:dyDescent="0.25">
      <c r="B33" t="e">
        <f ca="1">MOD(com.sun.star.sheet.addin.Analysis.getQuotient(IFERROR(CODE(MID(LLM!B2,4,1)),0),2^0),2)</f>
        <v>#NAME?</v>
      </c>
    </row>
    <row r="34" spans="2:2" x14ac:dyDescent="0.25">
      <c r="B34" t="e">
        <f ca="1">MOD(com.sun.star.sheet.addin.Analysis.getQuotient(IFERROR(CODE(MID(LLM!B2,5,1)),0),2^7),2)</f>
        <v>#NAME?</v>
      </c>
    </row>
    <row r="35" spans="2:2" x14ac:dyDescent="0.25">
      <c r="B35" t="e">
        <f ca="1">MOD(com.sun.star.sheet.addin.Analysis.getQuotient(IFERROR(CODE(MID(LLM!B2,5,1)),0),2^6),2)</f>
        <v>#NAME?</v>
      </c>
    </row>
    <row r="36" spans="2:2" x14ac:dyDescent="0.25">
      <c r="B36" t="e">
        <f ca="1">MOD(com.sun.star.sheet.addin.Analysis.getQuotient(IFERROR(CODE(MID(LLM!B2,5,1)),0),2^5),2)</f>
        <v>#NAME?</v>
      </c>
    </row>
    <row r="37" spans="2:2" x14ac:dyDescent="0.25">
      <c r="B37" t="e">
        <f ca="1">MOD(com.sun.star.sheet.addin.Analysis.getQuotient(IFERROR(CODE(MID(LLM!B2,5,1)),0),2^4),2)</f>
        <v>#NAME?</v>
      </c>
    </row>
    <row r="38" spans="2:2" x14ac:dyDescent="0.25">
      <c r="B38" t="e">
        <f ca="1">MOD(com.sun.star.sheet.addin.Analysis.getQuotient(IFERROR(CODE(MID(LLM!B2,5,1)),0),2^3),2)</f>
        <v>#NAME?</v>
      </c>
    </row>
    <row r="39" spans="2:2" x14ac:dyDescent="0.25">
      <c r="B39" t="e">
        <f ca="1">MOD(com.sun.star.sheet.addin.Analysis.getQuotient(IFERROR(CODE(MID(LLM!B2,5,1)),0),2^2),2)</f>
        <v>#NAME?</v>
      </c>
    </row>
    <row r="40" spans="2:2" x14ac:dyDescent="0.25">
      <c r="B40" t="e">
        <f ca="1">MOD(com.sun.star.sheet.addin.Analysis.getQuotient(IFERROR(CODE(MID(LLM!B2,5,1)),0),2^1),2)</f>
        <v>#NAME?</v>
      </c>
    </row>
    <row r="41" spans="2:2" x14ac:dyDescent="0.25">
      <c r="B41" t="e">
        <f ca="1">MOD(com.sun.star.sheet.addin.Analysis.getQuotient(IFERROR(CODE(MID(LLM!B2,5,1)),0),2^0),2)</f>
        <v>#NAME?</v>
      </c>
    </row>
    <row r="42" spans="2:2" x14ac:dyDescent="0.25">
      <c r="B42" t="e">
        <f ca="1">MOD(com.sun.star.sheet.addin.Analysis.getQuotient(IFERROR(CODE(MID(LLM!B2,6,1)),0),2^7),2)</f>
        <v>#NAME?</v>
      </c>
    </row>
    <row r="43" spans="2:2" x14ac:dyDescent="0.25">
      <c r="B43" t="e">
        <f ca="1">MOD(com.sun.star.sheet.addin.Analysis.getQuotient(IFERROR(CODE(MID(LLM!B2,6,1)),0),2^6),2)</f>
        <v>#NAME?</v>
      </c>
    </row>
    <row r="44" spans="2:2" x14ac:dyDescent="0.25">
      <c r="B44" t="e">
        <f ca="1">MOD(com.sun.star.sheet.addin.Analysis.getQuotient(IFERROR(CODE(MID(LLM!B2,6,1)),0),2^5),2)</f>
        <v>#NAME?</v>
      </c>
    </row>
    <row r="45" spans="2:2" x14ac:dyDescent="0.25">
      <c r="B45" t="e">
        <f ca="1">MOD(com.sun.star.sheet.addin.Analysis.getQuotient(IFERROR(CODE(MID(LLM!B2,6,1)),0),2^4),2)</f>
        <v>#NAME?</v>
      </c>
    </row>
    <row r="46" spans="2:2" x14ac:dyDescent="0.25">
      <c r="B46" t="e">
        <f ca="1">MOD(com.sun.star.sheet.addin.Analysis.getQuotient(IFERROR(CODE(MID(LLM!B2,6,1)),0),2^3),2)</f>
        <v>#NAME?</v>
      </c>
    </row>
    <row r="47" spans="2:2" x14ac:dyDescent="0.25">
      <c r="B47" t="e">
        <f ca="1">MOD(com.sun.star.sheet.addin.Analysis.getQuotient(IFERROR(CODE(MID(LLM!B2,6,1)),0),2^2),2)</f>
        <v>#NAME?</v>
      </c>
    </row>
    <row r="48" spans="2:2" x14ac:dyDescent="0.25">
      <c r="B48" t="e">
        <f ca="1">MOD(com.sun.star.sheet.addin.Analysis.getQuotient(IFERROR(CODE(MID(LLM!B2,6,1)),0),2^1),2)</f>
        <v>#NAME?</v>
      </c>
    </row>
    <row r="49" spans="2:2" x14ac:dyDescent="0.25">
      <c r="B49" t="e">
        <f ca="1">MOD(com.sun.star.sheet.addin.Analysis.getQuotient(IFERROR(CODE(MID(LLM!B2,6,1)),0),2^0),2)</f>
        <v>#NAME?</v>
      </c>
    </row>
    <row r="50" spans="2:2" x14ac:dyDescent="0.25">
      <c r="B50" t="e">
        <f ca="1">MOD(com.sun.star.sheet.addin.Analysis.getQuotient(IFERROR(CODE(MID(LLM!B2,7,1)),0),2^7),2)</f>
        <v>#NAME?</v>
      </c>
    </row>
    <row r="51" spans="2:2" x14ac:dyDescent="0.25">
      <c r="B51" t="e">
        <f ca="1">MOD(com.sun.star.sheet.addin.Analysis.getQuotient(IFERROR(CODE(MID(LLM!B2,7,1)),0),2^6),2)</f>
        <v>#NAME?</v>
      </c>
    </row>
    <row r="52" spans="2:2" x14ac:dyDescent="0.25">
      <c r="B52" t="e">
        <f ca="1">MOD(com.sun.star.sheet.addin.Analysis.getQuotient(IFERROR(CODE(MID(LLM!B2,7,1)),0),2^5),2)</f>
        <v>#NAME?</v>
      </c>
    </row>
    <row r="53" spans="2:2" x14ac:dyDescent="0.25">
      <c r="B53" t="e">
        <f ca="1">MOD(com.sun.star.sheet.addin.Analysis.getQuotient(IFERROR(CODE(MID(LLM!B2,7,1)),0),2^4),2)</f>
        <v>#NAME?</v>
      </c>
    </row>
    <row r="54" spans="2:2" x14ac:dyDescent="0.25">
      <c r="B54" t="e">
        <f ca="1">MOD(com.sun.star.sheet.addin.Analysis.getQuotient(IFERROR(CODE(MID(LLM!B2,7,1)),0),2^3),2)</f>
        <v>#NAME?</v>
      </c>
    </row>
    <row r="55" spans="2:2" x14ac:dyDescent="0.25">
      <c r="B55" t="e">
        <f ca="1">MOD(com.sun.star.sheet.addin.Analysis.getQuotient(IFERROR(CODE(MID(LLM!B2,7,1)),0),2^2),2)</f>
        <v>#NAME?</v>
      </c>
    </row>
    <row r="56" spans="2:2" x14ac:dyDescent="0.25">
      <c r="B56" t="e">
        <f ca="1">MOD(com.sun.star.sheet.addin.Analysis.getQuotient(IFERROR(CODE(MID(LLM!B2,7,1)),0),2^1),2)</f>
        <v>#NAME?</v>
      </c>
    </row>
    <row r="57" spans="2:2" x14ac:dyDescent="0.25">
      <c r="B57" t="e">
        <f ca="1">MOD(com.sun.star.sheet.addin.Analysis.getQuotient(IFERROR(CODE(MID(LLM!B2,7,1)),0),2^0),2)</f>
        <v>#NAME?</v>
      </c>
    </row>
    <row r="58" spans="2:2" x14ac:dyDescent="0.25">
      <c r="B58" t="e">
        <f ca="1">MOD(com.sun.star.sheet.addin.Analysis.getQuotient(IFERROR(CODE(MID(LLM!B2,8,1)),0),2^7),2)</f>
        <v>#NAME?</v>
      </c>
    </row>
    <row r="59" spans="2:2" x14ac:dyDescent="0.25">
      <c r="B59" t="e">
        <f ca="1">MOD(com.sun.star.sheet.addin.Analysis.getQuotient(IFERROR(CODE(MID(LLM!B2,8,1)),0),2^6),2)</f>
        <v>#NAME?</v>
      </c>
    </row>
    <row r="60" spans="2:2" x14ac:dyDescent="0.25">
      <c r="B60" t="e">
        <f ca="1">MOD(com.sun.star.sheet.addin.Analysis.getQuotient(IFERROR(CODE(MID(LLM!B2,8,1)),0),2^5),2)</f>
        <v>#NAME?</v>
      </c>
    </row>
    <row r="61" spans="2:2" x14ac:dyDescent="0.25">
      <c r="B61" t="e">
        <f ca="1">MOD(com.sun.star.sheet.addin.Analysis.getQuotient(IFERROR(CODE(MID(LLM!B2,8,1)),0),2^4),2)</f>
        <v>#NAME?</v>
      </c>
    </row>
    <row r="62" spans="2:2" x14ac:dyDescent="0.25">
      <c r="B62" t="e">
        <f ca="1">MOD(com.sun.star.sheet.addin.Analysis.getQuotient(IFERROR(CODE(MID(LLM!B2,8,1)),0),2^3),2)</f>
        <v>#NAME?</v>
      </c>
    </row>
    <row r="63" spans="2:2" x14ac:dyDescent="0.25">
      <c r="B63" t="e">
        <f ca="1">MOD(com.sun.star.sheet.addin.Analysis.getQuotient(IFERROR(CODE(MID(LLM!B2,8,1)),0),2^2),2)</f>
        <v>#NAME?</v>
      </c>
    </row>
    <row r="64" spans="2:2" x14ac:dyDescent="0.25">
      <c r="B64" t="e">
        <f ca="1">MOD(com.sun.star.sheet.addin.Analysis.getQuotient(IFERROR(CODE(MID(LLM!B2,8,1)),0),2^1),2)</f>
        <v>#NAME?</v>
      </c>
    </row>
    <row r="65" spans="2:2" x14ac:dyDescent="0.25">
      <c r="B65" t="e">
        <f ca="1">MOD(com.sun.star.sheet.addin.Analysis.getQuotient(IFERROR(CODE(MID(LLM!B2,8,1)),0),2^0),2)</f>
        <v>#NAME?</v>
      </c>
    </row>
    <row r="66" spans="2:2" x14ac:dyDescent="0.25">
      <c r="B66" t="e">
        <f ca="1">MOD(com.sun.star.sheet.addin.Analysis.getQuotient(IFERROR(CODE(MID(LLM!B2,9,1)),0),2^7),2)</f>
        <v>#NAME?</v>
      </c>
    </row>
    <row r="67" spans="2:2" x14ac:dyDescent="0.25">
      <c r="B67" t="e">
        <f ca="1">MOD(com.sun.star.sheet.addin.Analysis.getQuotient(IFERROR(CODE(MID(LLM!B2,9,1)),0),2^6),2)</f>
        <v>#NAME?</v>
      </c>
    </row>
    <row r="68" spans="2:2" x14ac:dyDescent="0.25">
      <c r="B68" t="e">
        <f ca="1">MOD(com.sun.star.sheet.addin.Analysis.getQuotient(IFERROR(CODE(MID(LLM!B2,9,1)),0),2^5),2)</f>
        <v>#NAME?</v>
      </c>
    </row>
    <row r="69" spans="2:2" x14ac:dyDescent="0.25">
      <c r="B69" t="e">
        <f ca="1">MOD(com.sun.star.sheet.addin.Analysis.getQuotient(IFERROR(CODE(MID(LLM!B2,9,1)),0),2^4),2)</f>
        <v>#NAME?</v>
      </c>
    </row>
    <row r="70" spans="2:2" x14ac:dyDescent="0.25">
      <c r="B70" t="e">
        <f ca="1">MOD(com.sun.star.sheet.addin.Analysis.getQuotient(IFERROR(CODE(MID(LLM!B2,9,1)),0),2^3),2)</f>
        <v>#NAME?</v>
      </c>
    </row>
    <row r="71" spans="2:2" x14ac:dyDescent="0.25">
      <c r="B71" t="e">
        <f ca="1">MOD(com.sun.star.sheet.addin.Analysis.getQuotient(IFERROR(CODE(MID(LLM!B2,9,1)),0),2^2),2)</f>
        <v>#NAME?</v>
      </c>
    </row>
    <row r="72" spans="2:2" x14ac:dyDescent="0.25">
      <c r="B72" t="e">
        <f ca="1">MOD(com.sun.star.sheet.addin.Analysis.getQuotient(IFERROR(CODE(MID(LLM!B2,9,1)),0),2^1),2)</f>
        <v>#NAME?</v>
      </c>
    </row>
    <row r="73" spans="2:2" x14ac:dyDescent="0.25">
      <c r="B73" t="e">
        <f ca="1">MOD(com.sun.star.sheet.addin.Analysis.getQuotient(IFERROR(CODE(MID(LLM!B2,9,1)),0),2^0),2)</f>
        <v>#NAME?</v>
      </c>
    </row>
    <row r="74" spans="2:2" x14ac:dyDescent="0.25">
      <c r="B74" t="e">
        <f ca="1">MOD(com.sun.star.sheet.addin.Analysis.getQuotient(IFERROR(CODE(MID(LLM!B2,10,1)),0),2^7),2)</f>
        <v>#NAME?</v>
      </c>
    </row>
    <row r="75" spans="2:2" x14ac:dyDescent="0.25">
      <c r="B75" t="e">
        <f ca="1">MOD(com.sun.star.sheet.addin.Analysis.getQuotient(IFERROR(CODE(MID(LLM!B2,10,1)),0),2^6),2)</f>
        <v>#NAME?</v>
      </c>
    </row>
    <row r="76" spans="2:2" x14ac:dyDescent="0.25">
      <c r="B76" t="e">
        <f ca="1">MOD(com.sun.star.sheet.addin.Analysis.getQuotient(IFERROR(CODE(MID(LLM!B2,10,1)),0),2^5),2)</f>
        <v>#NAME?</v>
      </c>
    </row>
    <row r="77" spans="2:2" x14ac:dyDescent="0.25">
      <c r="B77" t="e">
        <f ca="1">MOD(com.sun.star.sheet.addin.Analysis.getQuotient(IFERROR(CODE(MID(LLM!B2,10,1)),0),2^4),2)</f>
        <v>#NAME?</v>
      </c>
    </row>
    <row r="78" spans="2:2" x14ac:dyDescent="0.25">
      <c r="B78" t="e">
        <f ca="1">MOD(com.sun.star.sheet.addin.Analysis.getQuotient(IFERROR(CODE(MID(LLM!B2,10,1)),0),2^3),2)</f>
        <v>#NAME?</v>
      </c>
    </row>
    <row r="79" spans="2:2" x14ac:dyDescent="0.25">
      <c r="B79" t="e">
        <f ca="1">MOD(com.sun.star.sheet.addin.Analysis.getQuotient(IFERROR(CODE(MID(LLM!B2,10,1)),0),2^2),2)</f>
        <v>#NAME?</v>
      </c>
    </row>
    <row r="80" spans="2:2" x14ac:dyDescent="0.25">
      <c r="B80" t="e">
        <f ca="1">MOD(com.sun.star.sheet.addin.Analysis.getQuotient(IFERROR(CODE(MID(LLM!B2,10,1)),0),2^1),2)</f>
        <v>#NAME?</v>
      </c>
    </row>
    <row r="81" spans="2:2" x14ac:dyDescent="0.25">
      <c r="B81" t="e">
        <f ca="1">MOD(com.sun.star.sheet.addin.Analysis.getQuotient(IFERROR(CODE(MID(LLM!B2,10,1)),0),2^0),2)</f>
        <v>#NAME?</v>
      </c>
    </row>
    <row r="82" spans="2:2" x14ac:dyDescent="0.25">
      <c r="B82" t="e">
        <f ca="1">MOD(com.sun.star.sheet.addin.Analysis.getQuotient(IFERROR(CODE(MID(LLM!B2,11,1)),0),2^7),2)</f>
        <v>#NAME?</v>
      </c>
    </row>
    <row r="83" spans="2:2" x14ac:dyDescent="0.25">
      <c r="B83" t="e">
        <f ca="1">MOD(com.sun.star.sheet.addin.Analysis.getQuotient(IFERROR(CODE(MID(LLM!B2,11,1)),0),2^6),2)</f>
        <v>#NAME?</v>
      </c>
    </row>
    <row r="84" spans="2:2" x14ac:dyDescent="0.25">
      <c r="B84" t="e">
        <f ca="1">MOD(com.sun.star.sheet.addin.Analysis.getQuotient(IFERROR(CODE(MID(LLM!B2,11,1)),0),2^5),2)</f>
        <v>#NAME?</v>
      </c>
    </row>
    <row r="85" spans="2:2" x14ac:dyDescent="0.25">
      <c r="B85" t="e">
        <f ca="1">MOD(com.sun.star.sheet.addin.Analysis.getQuotient(IFERROR(CODE(MID(LLM!B2,11,1)),0),2^4),2)</f>
        <v>#NAME?</v>
      </c>
    </row>
    <row r="86" spans="2:2" x14ac:dyDescent="0.25">
      <c r="B86" t="e">
        <f ca="1">MOD(com.sun.star.sheet.addin.Analysis.getQuotient(IFERROR(CODE(MID(LLM!B2,11,1)),0),2^3),2)</f>
        <v>#NAME?</v>
      </c>
    </row>
    <row r="87" spans="2:2" x14ac:dyDescent="0.25">
      <c r="B87" t="e">
        <f ca="1">MOD(com.sun.star.sheet.addin.Analysis.getQuotient(IFERROR(CODE(MID(LLM!B2,11,1)),0),2^2),2)</f>
        <v>#NAME?</v>
      </c>
    </row>
    <row r="88" spans="2:2" x14ac:dyDescent="0.25">
      <c r="B88" t="e">
        <f ca="1">MOD(com.sun.star.sheet.addin.Analysis.getQuotient(IFERROR(CODE(MID(LLM!B2,11,1)),0),2^1),2)</f>
        <v>#NAME?</v>
      </c>
    </row>
    <row r="89" spans="2:2" x14ac:dyDescent="0.25">
      <c r="B89" t="e">
        <f ca="1">MOD(com.sun.star.sheet.addin.Analysis.getQuotient(IFERROR(CODE(MID(LLM!B2,11,1)),0),2^0),2)</f>
        <v>#NAME?</v>
      </c>
    </row>
    <row r="90" spans="2:2" x14ac:dyDescent="0.25">
      <c r="B90" t="e">
        <f ca="1">MOD(com.sun.star.sheet.addin.Analysis.getQuotient(IFERROR(CODE(MID(LLM!B2,12,1)),0),2^7),2)</f>
        <v>#NAME?</v>
      </c>
    </row>
    <row r="91" spans="2:2" x14ac:dyDescent="0.25">
      <c r="B91" t="e">
        <f ca="1">MOD(com.sun.star.sheet.addin.Analysis.getQuotient(IFERROR(CODE(MID(LLM!B2,12,1)),0),2^6),2)</f>
        <v>#NAME?</v>
      </c>
    </row>
    <row r="92" spans="2:2" x14ac:dyDescent="0.25">
      <c r="B92" t="e">
        <f ca="1">MOD(com.sun.star.sheet.addin.Analysis.getQuotient(IFERROR(CODE(MID(LLM!B2,12,1)),0),2^5),2)</f>
        <v>#NAME?</v>
      </c>
    </row>
    <row r="93" spans="2:2" x14ac:dyDescent="0.25">
      <c r="B93" t="e">
        <f ca="1">MOD(com.sun.star.sheet.addin.Analysis.getQuotient(IFERROR(CODE(MID(LLM!B2,12,1)),0),2^4),2)</f>
        <v>#NAME?</v>
      </c>
    </row>
    <row r="94" spans="2:2" x14ac:dyDescent="0.25">
      <c r="B94" t="e">
        <f ca="1">MOD(com.sun.star.sheet.addin.Analysis.getQuotient(IFERROR(CODE(MID(LLM!B2,12,1)),0),2^3),2)</f>
        <v>#NAME?</v>
      </c>
    </row>
    <row r="95" spans="2:2" x14ac:dyDescent="0.25">
      <c r="B95" t="e">
        <f ca="1">MOD(com.sun.star.sheet.addin.Analysis.getQuotient(IFERROR(CODE(MID(LLM!B2,12,1)),0),2^2),2)</f>
        <v>#NAME?</v>
      </c>
    </row>
    <row r="96" spans="2:2" x14ac:dyDescent="0.25">
      <c r="B96" t="e">
        <f ca="1">MOD(com.sun.star.sheet.addin.Analysis.getQuotient(IFERROR(CODE(MID(LLM!B2,12,1)),0),2^1),2)</f>
        <v>#NAME?</v>
      </c>
    </row>
    <row r="97" spans="2:2" x14ac:dyDescent="0.25">
      <c r="B97" t="e">
        <f ca="1">MOD(com.sun.star.sheet.addin.Analysis.getQuotient(IFERROR(CODE(MID(LLM!B2,12,1)),0),2^0),2)</f>
        <v>#NAME?</v>
      </c>
    </row>
    <row r="98" spans="2:2" x14ac:dyDescent="0.25">
      <c r="B98" t="e">
        <f ca="1">MOD(com.sun.star.sheet.addin.Analysis.getQuotient(IFERROR(CODE(MID(LLM!B2,13,1)),0),2^7),2)</f>
        <v>#NAME?</v>
      </c>
    </row>
    <row r="99" spans="2:2" x14ac:dyDescent="0.25">
      <c r="B99" t="e">
        <f ca="1">MOD(com.sun.star.sheet.addin.Analysis.getQuotient(IFERROR(CODE(MID(LLM!B2,13,1)),0),2^6),2)</f>
        <v>#NAME?</v>
      </c>
    </row>
    <row r="100" spans="2:2" x14ac:dyDescent="0.25">
      <c r="B100" t="e">
        <f ca="1">MOD(com.sun.star.sheet.addin.Analysis.getQuotient(IFERROR(CODE(MID(LLM!B2,13,1)),0),2^5),2)</f>
        <v>#NAME?</v>
      </c>
    </row>
    <row r="101" spans="2:2" x14ac:dyDescent="0.25">
      <c r="B101" t="e">
        <f ca="1">MOD(com.sun.star.sheet.addin.Analysis.getQuotient(IFERROR(CODE(MID(LLM!B2,13,1)),0),2^4),2)</f>
        <v>#NAME?</v>
      </c>
    </row>
    <row r="102" spans="2:2" x14ac:dyDescent="0.25">
      <c r="B102" t="e">
        <f ca="1">MOD(com.sun.star.sheet.addin.Analysis.getQuotient(IFERROR(CODE(MID(LLM!B2,13,1)),0),2^3),2)</f>
        <v>#NAME?</v>
      </c>
    </row>
    <row r="103" spans="2:2" x14ac:dyDescent="0.25">
      <c r="B103" t="e">
        <f ca="1">MOD(com.sun.star.sheet.addin.Analysis.getQuotient(IFERROR(CODE(MID(LLM!B2,13,1)),0),2^2),2)</f>
        <v>#NAME?</v>
      </c>
    </row>
    <row r="104" spans="2:2" x14ac:dyDescent="0.25">
      <c r="B104" t="e">
        <f ca="1">MOD(com.sun.star.sheet.addin.Analysis.getQuotient(IFERROR(CODE(MID(LLM!B2,13,1)),0),2^1),2)</f>
        <v>#NAME?</v>
      </c>
    </row>
    <row r="105" spans="2:2" x14ac:dyDescent="0.25">
      <c r="B105" t="e">
        <f ca="1">MOD(com.sun.star.sheet.addin.Analysis.getQuotient(IFERROR(CODE(MID(LLM!B2,13,1)),0),2^0),2)</f>
        <v>#NAME?</v>
      </c>
    </row>
    <row r="106" spans="2:2" x14ac:dyDescent="0.25">
      <c r="B106" t="e">
        <f ca="1">MOD(com.sun.star.sheet.addin.Analysis.getQuotient(IFERROR(CODE(MID(LLM!B2,14,1)),0),2^7),2)</f>
        <v>#NAME?</v>
      </c>
    </row>
    <row r="107" spans="2:2" x14ac:dyDescent="0.25">
      <c r="B107" t="e">
        <f ca="1">MOD(com.sun.star.sheet.addin.Analysis.getQuotient(IFERROR(CODE(MID(LLM!B2,14,1)),0),2^6),2)</f>
        <v>#NAME?</v>
      </c>
    </row>
    <row r="108" spans="2:2" x14ac:dyDescent="0.25">
      <c r="B108" t="e">
        <f ca="1">MOD(com.sun.star.sheet.addin.Analysis.getQuotient(IFERROR(CODE(MID(LLM!B2,14,1)),0),2^5),2)</f>
        <v>#NAME?</v>
      </c>
    </row>
    <row r="109" spans="2:2" x14ac:dyDescent="0.25">
      <c r="B109" t="e">
        <f ca="1">MOD(com.sun.star.sheet.addin.Analysis.getQuotient(IFERROR(CODE(MID(LLM!B2,14,1)),0),2^4),2)</f>
        <v>#NAME?</v>
      </c>
    </row>
    <row r="110" spans="2:2" x14ac:dyDescent="0.25">
      <c r="B110" t="e">
        <f ca="1">MOD(com.sun.star.sheet.addin.Analysis.getQuotient(IFERROR(CODE(MID(LLM!B2,14,1)),0),2^3),2)</f>
        <v>#NAME?</v>
      </c>
    </row>
    <row r="111" spans="2:2" x14ac:dyDescent="0.25">
      <c r="B111" t="e">
        <f ca="1">MOD(com.sun.star.sheet.addin.Analysis.getQuotient(IFERROR(CODE(MID(LLM!B2,14,1)),0),2^2),2)</f>
        <v>#NAME?</v>
      </c>
    </row>
    <row r="112" spans="2:2" x14ac:dyDescent="0.25">
      <c r="B112" t="e">
        <f ca="1">MOD(com.sun.star.sheet.addin.Analysis.getQuotient(IFERROR(CODE(MID(LLM!B2,14,1)),0),2^1),2)</f>
        <v>#NAME?</v>
      </c>
    </row>
    <row r="113" spans="2:2" x14ac:dyDescent="0.25">
      <c r="B113" t="e">
        <f ca="1">MOD(com.sun.star.sheet.addin.Analysis.getQuotient(IFERROR(CODE(MID(LLM!B2,14,1)),0),2^0),2)</f>
        <v>#NAME?</v>
      </c>
    </row>
    <row r="114" spans="2:2" x14ac:dyDescent="0.25">
      <c r="B114" t="e">
        <f ca="1">MOD(com.sun.star.sheet.addin.Analysis.getQuotient(IFERROR(CODE(MID(LLM!B2,15,1)),0),2^7),2)</f>
        <v>#NAME?</v>
      </c>
    </row>
    <row r="115" spans="2:2" x14ac:dyDescent="0.25">
      <c r="B115" t="e">
        <f ca="1">MOD(com.sun.star.sheet.addin.Analysis.getQuotient(IFERROR(CODE(MID(LLM!B2,15,1)),0),2^6),2)</f>
        <v>#NAME?</v>
      </c>
    </row>
    <row r="116" spans="2:2" x14ac:dyDescent="0.25">
      <c r="B116" t="e">
        <f ca="1">MOD(com.sun.star.sheet.addin.Analysis.getQuotient(IFERROR(CODE(MID(LLM!B2,15,1)),0),2^5),2)</f>
        <v>#NAME?</v>
      </c>
    </row>
    <row r="117" spans="2:2" x14ac:dyDescent="0.25">
      <c r="B117" t="e">
        <f ca="1">MOD(com.sun.star.sheet.addin.Analysis.getQuotient(IFERROR(CODE(MID(LLM!B2,15,1)),0),2^4),2)</f>
        <v>#NAME?</v>
      </c>
    </row>
    <row r="118" spans="2:2" x14ac:dyDescent="0.25">
      <c r="B118" t="e">
        <f ca="1">MOD(com.sun.star.sheet.addin.Analysis.getQuotient(IFERROR(CODE(MID(LLM!B2,15,1)),0),2^3),2)</f>
        <v>#NAME?</v>
      </c>
    </row>
    <row r="119" spans="2:2" x14ac:dyDescent="0.25">
      <c r="B119" t="e">
        <f ca="1">MOD(com.sun.star.sheet.addin.Analysis.getQuotient(IFERROR(CODE(MID(LLM!B2,15,1)),0),2^2),2)</f>
        <v>#NAME?</v>
      </c>
    </row>
    <row r="120" spans="2:2" x14ac:dyDescent="0.25">
      <c r="B120" t="e">
        <f ca="1">MOD(com.sun.star.sheet.addin.Analysis.getQuotient(IFERROR(CODE(MID(LLM!B2,15,1)),0),2^1),2)</f>
        <v>#NAME?</v>
      </c>
    </row>
    <row r="121" spans="2:2" x14ac:dyDescent="0.25">
      <c r="B121" t="e">
        <f ca="1">MOD(com.sun.star.sheet.addin.Analysis.getQuotient(IFERROR(CODE(MID(LLM!B2,15,1)),0),2^0),2)</f>
        <v>#NAME?</v>
      </c>
    </row>
    <row r="122" spans="2:2" x14ac:dyDescent="0.25">
      <c r="B122" t="e">
        <f ca="1">MOD(com.sun.star.sheet.addin.Analysis.getQuotient(IFERROR(CODE(MID(LLM!B2,16,1)),0),2^7),2)</f>
        <v>#NAME?</v>
      </c>
    </row>
    <row r="123" spans="2:2" x14ac:dyDescent="0.25">
      <c r="B123" t="e">
        <f ca="1">MOD(com.sun.star.sheet.addin.Analysis.getQuotient(IFERROR(CODE(MID(LLM!B2,16,1)),0),2^6),2)</f>
        <v>#NAME?</v>
      </c>
    </row>
    <row r="124" spans="2:2" x14ac:dyDescent="0.25">
      <c r="B124" t="e">
        <f ca="1">MOD(com.sun.star.sheet.addin.Analysis.getQuotient(IFERROR(CODE(MID(LLM!B2,16,1)),0),2^5),2)</f>
        <v>#NAME?</v>
      </c>
    </row>
    <row r="125" spans="2:2" x14ac:dyDescent="0.25">
      <c r="B125" t="e">
        <f ca="1">MOD(com.sun.star.sheet.addin.Analysis.getQuotient(IFERROR(CODE(MID(LLM!B2,16,1)),0),2^4),2)</f>
        <v>#NAME?</v>
      </c>
    </row>
    <row r="126" spans="2:2" x14ac:dyDescent="0.25">
      <c r="B126" t="e">
        <f ca="1">MOD(com.sun.star.sheet.addin.Analysis.getQuotient(IFERROR(CODE(MID(LLM!B2,16,1)),0),2^3),2)</f>
        <v>#NAME?</v>
      </c>
    </row>
    <row r="127" spans="2:2" x14ac:dyDescent="0.25">
      <c r="B127" t="e">
        <f ca="1">MOD(com.sun.star.sheet.addin.Analysis.getQuotient(IFERROR(CODE(MID(LLM!B2,16,1)),0),2^2),2)</f>
        <v>#NAME?</v>
      </c>
    </row>
    <row r="128" spans="2:2" x14ac:dyDescent="0.25">
      <c r="B128" t="e">
        <f ca="1">MOD(com.sun.star.sheet.addin.Analysis.getQuotient(IFERROR(CODE(MID(LLM!B2,16,1)),0),2^1),2)</f>
        <v>#NAME?</v>
      </c>
    </row>
    <row r="129" spans="2:2" x14ac:dyDescent="0.25">
      <c r="B129" t="e">
        <f ca="1">MOD(com.sun.star.sheet.addin.Analysis.getQuotient(IFERROR(CODE(MID(LLM!B2,16,1)),0),2^0),2)</f>
        <v>#NAME?</v>
      </c>
    </row>
    <row r="130" spans="2:2" x14ac:dyDescent="0.25">
      <c r="B130" t="e">
        <f ca="1">MOD(com.sun.star.sheet.addin.Analysis.getQuotient(IFERROR(CODE(MID(LLM!B2,17,1)),0),2^7),2)</f>
        <v>#NAME?</v>
      </c>
    </row>
    <row r="131" spans="2:2" x14ac:dyDescent="0.25">
      <c r="B131" t="e">
        <f ca="1">MOD(com.sun.star.sheet.addin.Analysis.getQuotient(IFERROR(CODE(MID(LLM!B2,17,1)),0),2^6),2)</f>
        <v>#NAME?</v>
      </c>
    </row>
    <row r="132" spans="2:2" x14ac:dyDescent="0.25">
      <c r="B132" t="e">
        <f ca="1">MOD(com.sun.star.sheet.addin.Analysis.getQuotient(IFERROR(CODE(MID(LLM!B2,17,1)),0),2^5),2)</f>
        <v>#NAME?</v>
      </c>
    </row>
    <row r="133" spans="2:2" x14ac:dyDescent="0.25">
      <c r="B133" t="e">
        <f ca="1">MOD(com.sun.star.sheet.addin.Analysis.getQuotient(IFERROR(CODE(MID(LLM!B2,17,1)),0),2^4),2)</f>
        <v>#NAME?</v>
      </c>
    </row>
    <row r="134" spans="2:2" x14ac:dyDescent="0.25">
      <c r="B134" t="e">
        <f ca="1">MOD(com.sun.star.sheet.addin.Analysis.getQuotient(IFERROR(CODE(MID(LLM!B2,17,1)),0),2^3),2)</f>
        <v>#NAME?</v>
      </c>
    </row>
    <row r="135" spans="2:2" x14ac:dyDescent="0.25">
      <c r="B135" t="e">
        <f ca="1">MOD(com.sun.star.sheet.addin.Analysis.getQuotient(IFERROR(CODE(MID(LLM!B2,17,1)),0),2^2),2)</f>
        <v>#NAME?</v>
      </c>
    </row>
    <row r="136" spans="2:2" x14ac:dyDescent="0.25">
      <c r="B136" t="e">
        <f ca="1">MOD(com.sun.star.sheet.addin.Analysis.getQuotient(IFERROR(CODE(MID(LLM!B2,17,1)),0),2^1),2)</f>
        <v>#NAME?</v>
      </c>
    </row>
    <row r="137" spans="2:2" x14ac:dyDescent="0.25">
      <c r="B137" t="e">
        <f ca="1">MOD(com.sun.star.sheet.addin.Analysis.getQuotient(IFERROR(CODE(MID(LLM!B2,17,1)),0),2^0),2)</f>
        <v>#NAME?</v>
      </c>
    </row>
    <row r="138" spans="2:2" x14ac:dyDescent="0.25">
      <c r="B138" t="e">
        <f ca="1">MOD(com.sun.star.sheet.addin.Analysis.getQuotient(IFERROR(CODE(MID(LLM!B2,18,1)),0),2^7),2)</f>
        <v>#NAME?</v>
      </c>
    </row>
    <row r="139" spans="2:2" x14ac:dyDescent="0.25">
      <c r="B139" t="e">
        <f ca="1">MOD(com.sun.star.sheet.addin.Analysis.getQuotient(IFERROR(CODE(MID(LLM!B2,18,1)),0),2^6),2)</f>
        <v>#NAME?</v>
      </c>
    </row>
    <row r="140" spans="2:2" x14ac:dyDescent="0.25">
      <c r="B140" t="e">
        <f ca="1">MOD(com.sun.star.sheet.addin.Analysis.getQuotient(IFERROR(CODE(MID(LLM!B2,18,1)),0),2^5),2)</f>
        <v>#NAME?</v>
      </c>
    </row>
    <row r="141" spans="2:2" x14ac:dyDescent="0.25">
      <c r="B141" t="e">
        <f ca="1">MOD(com.sun.star.sheet.addin.Analysis.getQuotient(IFERROR(CODE(MID(LLM!B2,18,1)),0),2^4),2)</f>
        <v>#NAME?</v>
      </c>
    </row>
    <row r="142" spans="2:2" x14ac:dyDescent="0.25">
      <c r="B142" t="e">
        <f ca="1">MOD(com.sun.star.sheet.addin.Analysis.getQuotient(IFERROR(CODE(MID(LLM!B2,18,1)),0),2^3),2)</f>
        <v>#NAME?</v>
      </c>
    </row>
    <row r="143" spans="2:2" x14ac:dyDescent="0.25">
      <c r="B143" t="e">
        <f ca="1">MOD(com.sun.star.sheet.addin.Analysis.getQuotient(IFERROR(CODE(MID(LLM!B2,18,1)),0),2^2),2)</f>
        <v>#NAME?</v>
      </c>
    </row>
    <row r="144" spans="2:2" x14ac:dyDescent="0.25">
      <c r="B144" t="e">
        <f ca="1">MOD(com.sun.star.sheet.addin.Analysis.getQuotient(IFERROR(CODE(MID(LLM!B2,18,1)),0),2^1),2)</f>
        <v>#NAME?</v>
      </c>
    </row>
    <row r="145" spans="2:2" x14ac:dyDescent="0.25">
      <c r="B145" t="e">
        <f ca="1">MOD(com.sun.star.sheet.addin.Analysis.getQuotient(IFERROR(CODE(MID(LLM!B2,18,1)),0),2^0),2)</f>
        <v>#NAME?</v>
      </c>
    </row>
    <row r="146" spans="2:2" x14ac:dyDescent="0.25">
      <c r="B146" t="e">
        <f ca="1">MOD(com.sun.star.sheet.addin.Analysis.getQuotient(IFERROR(CODE(MID(LLM!B2,19,1)),0),2^7),2)</f>
        <v>#NAME?</v>
      </c>
    </row>
    <row r="147" spans="2:2" x14ac:dyDescent="0.25">
      <c r="B147" t="e">
        <f ca="1">MOD(com.sun.star.sheet.addin.Analysis.getQuotient(IFERROR(CODE(MID(LLM!B2,19,1)),0),2^6),2)</f>
        <v>#NAME?</v>
      </c>
    </row>
    <row r="148" spans="2:2" x14ac:dyDescent="0.25">
      <c r="B148" t="e">
        <f ca="1">MOD(com.sun.star.sheet.addin.Analysis.getQuotient(IFERROR(CODE(MID(LLM!B2,19,1)),0),2^5),2)</f>
        <v>#NAME?</v>
      </c>
    </row>
    <row r="149" spans="2:2" x14ac:dyDescent="0.25">
      <c r="B149" t="e">
        <f ca="1">MOD(com.sun.star.sheet.addin.Analysis.getQuotient(IFERROR(CODE(MID(LLM!B2,19,1)),0),2^4),2)</f>
        <v>#NAME?</v>
      </c>
    </row>
    <row r="150" spans="2:2" x14ac:dyDescent="0.25">
      <c r="B150" t="e">
        <f ca="1">MOD(com.sun.star.sheet.addin.Analysis.getQuotient(IFERROR(CODE(MID(LLM!B2,19,1)),0),2^3),2)</f>
        <v>#NAME?</v>
      </c>
    </row>
    <row r="151" spans="2:2" x14ac:dyDescent="0.25">
      <c r="B151" t="e">
        <f ca="1">MOD(com.sun.star.sheet.addin.Analysis.getQuotient(IFERROR(CODE(MID(LLM!B2,19,1)),0),2^2),2)</f>
        <v>#NAME?</v>
      </c>
    </row>
    <row r="152" spans="2:2" x14ac:dyDescent="0.25">
      <c r="B152" t="e">
        <f ca="1">MOD(com.sun.star.sheet.addin.Analysis.getQuotient(IFERROR(CODE(MID(LLM!B2,19,1)),0),2^1),2)</f>
        <v>#NAME?</v>
      </c>
    </row>
    <row r="153" spans="2:2" x14ac:dyDescent="0.25">
      <c r="B153" t="e">
        <f ca="1">MOD(com.sun.star.sheet.addin.Analysis.getQuotient(IFERROR(CODE(MID(LLM!B2,19,1)),0),2^0),2)</f>
        <v>#NAME?</v>
      </c>
    </row>
    <row r="154" spans="2:2" x14ac:dyDescent="0.25">
      <c r="B154" t="e">
        <f ca="1">MOD(com.sun.star.sheet.addin.Analysis.getQuotient(IFERROR(CODE(MID(LLM!B2,20,1)),0),2^7),2)</f>
        <v>#NAME?</v>
      </c>
    </row>
    <row r="155" spans="2:2" x14ac:dyDescent="0.25">
      <c r="B155" t="e">
        <f ca="1">MOD(com.sun.star.sheet.addin.Analysis.getQuotient(IFERROR(CODE(MID(LLM!B2,20,1)),0),2^6),2)</f>
        <v>#NAME?</v>
      </c>
    </row>
    <row r="156" spans="2:2" x14ac:dyDescent="0.25">
      <c r="B156" t="e">
        <f ca="1">MOD(com.sun.star.sheet.addin.Analysis.getQuotient(IFERROR(CODE(MID(LLM!B2,20,1)),0),2^5),2)</f>
        <v>#NAME?</v>
      </c>
    </row>
    <row r="157" spans="2:2" x14ac:dyDescent="0.25">
      <c r="B157" t="e">
        <f ca="1">MOD(com.sun.star.sheet.addin.Analysis.getQuotient(IFERROR(CODE(MID(LLM!B2,20,1)),0),2^4),2)</f>
        <v>#NAME?</v>
      </c>
    </row>
    <row r="158" spans="2:2" x14ac:dyDescent="0.25">
      <c r="B158" t="e">
        <f ca="1">MOD(com.sun.star.sheet.addin.Analysis.getQuotient(IFERROR(CODE(MID(LLM!B2,20,1)),0),2^3),2)</f>
        <v>#NAME?</v>
      </c>
    </row>
    <row r="159" spans="2:2" x14ac:dyDescent="0.25">
      <c r="B159" t="e">
        <f ca="1">MOD(com.sun.star.sheet.addin.Analysis.getQuotient(IFERROR(CODE(MID(LLM!B2,20,1)),0),2^2),2)</f>
        <v>#NAME?</v>
      </c>
    </row>
    <row r="160" spans="2:2" x14ac:dyDescent="0.25">
      <c r="B160" t="e">
        <f ca="1">MOD(com.sun.star.sheet.addin.Analysis.getQuotient(IFERROR(CODE(MID(LLM!B2,20,1)),0),2^1),2)</f>
        <v>#NAME?</v>
      </c>
    </row>
    <row r="161" spans="2:2" x14ac:dyDescent="0.25">
      <c r="B161" t="e">
        <f ca="1">MOD(com.sun.star.sheet.addin.Analysis.getQuotient(IFERROR(CODE(MID(LLM!B2,20,1)),0),2^0),2)</f>
        <v>#NAME?</v>
      </c>
    </row>
    <row r="162" spans="2:2" x14ac:dyDescent="0.25">
      <c r="B162" t="e">
        <f ca="1">MOD(com.sun.star.sheet.addin.Analysis.getQuotient(IFERROR(CODE(MID(LLM!B2,21,1)),0),2^7),2)</f>
        <v>#NAME?</v>
      </c>
    </row>
    <row r="163" spans="2:2" x14ac:dyDescent="0.25">
      <c r="B163" t="e">
        <f ca="1">MOD(com.sun.star.sheet.addin.Analysis.getQuotient(IFERROR(CODE(MID(LLM!B2,21,1)),0),2^6),2)</f>
        <v>#NAME?</v>
      </c>
    </row>
    <row r="164" spans="2:2" x14ac:dyDescent="0.25">
      <c r="B164" t="e">
        <f ca="1">MOD(com.sun.star.sheet.addin.Analysis.getQuotient(IFERROR(CODE(MID(LLM!B2,21,1)),0),2^5),2)</f>
        <v>#NAME?</v>
      </c>
    </row>
    <row r="165" spans="2:2" x14ac:dyDescent="0.25">
      <c r="B165" t="e">
        <f ca="1">MOD(com.sun.star.sheet.addin.Analysis.getQuotient(IFERROR(CODE(MID(LLM!B2,21,1)),0),2^4),2)</f>
        <v>#NAME?</v>
      </c>
    </row>
    <row r="166" spans="2:2" x14ac:dyDescent="0.25">
      <c r="B166" t="e">
        <f ca="1">MOD(com.sun.star.sheet.addin.Analysis.getQuotient(IFERROR(CODE(MID(LLM!B2,21,1)),0),2^3),2)</f>
        <v>#NAME?</v>
      </c>
    </row>
    <row r="167" spans="2:2" x14ac:dyDescent="0.25">
      <c r="B167" t="e">
        <f ca="1">MOD(com.sun.star.sheet.addin.Analysis.getQuotient(IFERROR(CODE(MID(LLM!B2,21,1)),0),2^2),2)</f>
        <v>#NAME?</v>
      </c>
    </row>
    <row r="168" spans="2:2" x14ac:dyDescent="0.25">
      <c r="B168" t="e">
        <f ca="1">MOD(com.sun.star.sheet.addin.Analysis.getQuotient(IFERROR(CODE(MID(LLM!B2,21,1)),0),2^1),2)</f>
        <v>#NAME?</v>
      </c>
    </row>
    <row r="169" spans="2:2" x14ac:dyDescent="0.25">
      <c r="B169" t="e">
        <f ca="1">MOD(com.sun.star.sheet.addin.Analysis.getQuotient(IFERROR(CODE(MID(LLM!B2,21,1)),0),2^0),2)</f>
        <v>#NAME?</v>
      </c>
    </row>
    <row r="170" spans="2:2" x14ac:dyDescent="0.25">
      <c r="B170" t="e">
        <f ca="1">MOD(com.sun.star.sheet.addin.Analysis.getQuotient(IFERROR(CODE(MID(LLM!B2,22,1)),0),2^7),2)</f>
        <v>#NAME?</v>
      </c>
    </row>
    <row r="171" spans="2:2" x14ac:dyDescent="0.25">
      <c r="B171" t="e">
        <f ca="1">MOD(com.sun.star.sheet.addin.Analysis.getQuotient(IFERROR(CODE(MID(LLM!B2,22,1)),0),2^6),2)</f>
        <v>#NAME?</v>
      </c>
    </row>
    <row r="172" spans="2:2" x14ac:dyDescent="0.25">
      <c r="B172" t="e">
        <f ca="1">MOD(com.sun.star.sheet.addin.Analysis.getQuotient(IFERROR(CODE(MID(LLM!B2,22,1)),0),2^5),2)</f>
        <v>#NAME?</v>
      </c>
    </row>
    <row r="173" spans="2:2" x14ac:dyDescent="0.25">
      <c r="B173" t="e">
        <f ca="1">MOD(com.sun.star.sheet.addin.Analysis.getQuotient(IFERROR(CODE(MID(LLM!B2,22,1)),0),2^4),2)</f>
        <v>#NAME?</v>
      </c>
    </row>
    <row r="174" spans="2:2" x14ac:dyDescent="0.25">
      <c r="B174" t="e">
        <f ca="1">MOD(com.sun.star.sheet.addin.Analysis.getQuotient(IFERROR(CODE(MID(LLM!B2,22,1)),0),2^3),2)</f>
        <v>#NAME?</v>
      </c>
    </row>
    <row r="175" spans="2:2" x14ac:dyDescent="0.25">
      <c r="B175" t="e">
        <f ca="1">MOD(com.sun.star.sheet.addin.Analysis.getQuotient(IFERROR(CODE(MID(LLM!B2,22,1)),0),2^2),2)</f>
        <v>#NAME?</v>
      </c>
    </row>
    <row r="176" spans="2:2" x14ac:dyDescent="0.25">
      <c r="B176" t="e">
        <f ca="1">MOD(com.sun.star.sheet.addin.Analysis.getQuotient(IFERROR(CODE(MID(LLM!B2,22,1)),0),2^1),2)</f>
        <v>#NAME?</v>
      </c>
    </row>
    <row r="177" spans="2:2" x14ac:dyDescent="0.25">
      <c r="B177" t="e">
        <f ca="1">MOD(com.sun.star.sheet.addin.Analysis.getQuotient(IFERROR(CODE(MID(LLM!B2,22,1)),0),2^0),2)</f>
        <v>#NAME?</v>
      </c>
    </row>
    <row r="178" spans="2:2" x14ac:dyDescent="0.25">
      <c r="B178" t="e">
        <f ca="1">MOD(com.sun.star.sheet.addin.Analysis.getQuotient(IFERROR(CODE(MID(LLM!B2,23,1)),0),2^7),2)</f>
        <v>#NAME?</v>
      </c>
    </row>
    <row r="179" spans="2:2" x14ac:dyDescent="0.25">
      <c r="B179" t="e">
        <f ca="1">MOD(com.sun.star.sheet.addin.Analysis.getQuotient(IFERROR(CODE(MID(LLM!B2,23,1)),0),2^6),2)</f>
        <v>#NAME?</v>
      </c>
    </row>
    <row r="180" spans="2:2" x14ac:dyDescent="0.25">
      <c r="B180" t="e">
        <f ca="1">MOD(com.sun.star.sheet.addin.Analysis.getQuotient(IFERROR(CODE(MID(LLM!B2,23,1)),0),2^5),2)</f>
        <v>#NAME?</v>
      </c>
    </row>
    <row r="181" spans="2:2" x14ac:dyDescent="0.25">
      <c r="B181" t="e">
        <f ca="1">MOD(com.sun.star.sheet.addin.Analysis.getQuotient(IFERROR(CODE(MID(LLM!B2,23,1)),0),2^4),2)</f>
        <v>#NAME?</v>
      </c>
    </row>
    <row r="182" spans="2:2" x14ac:dyDescent="0.25">
      <c r="B182" t="e">
        <f ca="1">MOD(com.sun.star.sheet.addin.Analysis.getQuotient(IFERROR(CODE(MID(LLM!B2,23,1)),0),2^3),2)</f>
        <v>#NAME?</v>
      </c>
    </row>
    <row r="183" spans="2:2" x14ac:dyDescent="0.25">
      <c r="B183" t="e">
        <f ca="1">MOD(com.sun.star.sheet.addin.Analysis.getQuotient(IFERROR(CODE(MID(LLM!B2,23,1)),0),2^2),2)</f>
        <v>#NAME?</v>
      </c>
    </row>
    <row r="184" spans="2:2" x14ac:dyDescent="0.25">
      <c r="B184" t="e">
        <f ca="1">MOD(com.sun.star.sheet.addin.Analysis.getQuotient(IFERROR(CODE(MID(LLM!B2,23,1)),0),2^1),2)</f>
        <v>#NAME?</v>
      </c>
    </row>
    <row r="185" spans="2:2" x14ac:dyDescent="0.25">
      <c r="B185" t="e">
        <f ca="1">MOD(com.sun.star.sheet.addin.Analysis.getQuotient(IFERROR(CODE(MID(LLM!B2,23,1)),0),2^0),2)</f>
        <v>#NAME?</v>
      </c>
    </row>
    <row r="186" spans="2:2" x14ac:dyDescent="0.25">
      <c r="B186" t="e">
        <f ca="1">MOD(com.sun.star.sheet.addin.Analysis.getQuotient(IFERROR(CODE(MID(LLM!B2,24,1)),0),2^7),2)</f>
        <v>#NAME?</v>
      </c>
    </row>
    <row r="187" spans="2:2" x14ac:dyDescent="0.25">
      <c r="B187" t="e">
        <f ca="1">MOD(com.sun.star.sheet.addin.Analysis.getQuotient(IFERROR(CODE(MID(LLM!B2,24,1)),0),2^6),2)</f>
        <v>#NAME?</v>
      </c>
    </row>
    <row r="188" spans="2:2" x14ac:dyDescent="0.25">
      <c r="B188" t="e">
        <f ca="1">MOD(com.sun.star.sheet.addin.Analysis.getQuotient(IFERROR(CODE(MID(LLM!B2,24,1)),0),2^5),2)</f>
        <v>#NAME?</v>
      </c>
    </row>
    <row r="189" spans="2:2" x14ac:dyDescent="0.25">
      <c r="B189" t="e">
        <f ca="1">MOD(com.sun.star.sheet.addin.Analysis.getQuotient(IFERROR(CODE(MID(LLM!B2,24,1)),0),2^4),2)</f>
        <v>#NAME?</v>
      </c>
    </row>
    <row r="190" spans="2:2" x14ac:dyDescent="0.25">
      <c r="B190" t="e">
        <f ca="1">MOD(com.sun.star.sheet.addin.Analysis.getQuotient(IFERROR(CODE(MID(LLM!B2,24,1)),0),2^3),2)</f>
        <v>#NAME?</v>
      </c>
    </row>
    <row r="191" spans="2:2" x14ac:dyDescent="0.25">
      <c r="B191" t="e">
        <f ca="1">MOD(com.sun.star.sheet.addin.Analysis.getQuotient(IFERROR(CODE(MID(LLM!B2,24,1)),0),2^2),2)</f>
        <v>#NAME?</v>
      </c>
    </row>
    <row r="192" spans="2:2" x14ac:dyDescent="0.25">
      <c r="B192" t="e">
        <f ca="1">MOD(com.sun.star.sheet.addin.Analysis.getQuotient(IFERROR(CODE(MID(LLM!B2,24,1)),0),2^1),2)</f>
        <v>#NAME?</v>
      </c>
    </row>
    <row r="193" spans="2:2" x14ac:dyDescent="0.25">
      <c r="B193" t="e">
        <f ca="1">MOD(com.sun.star.sheet.addin.Analysis.getQuotient(IFERROR(CODE(MID(LLM!B2,24,1)),0),2^0),2)</f>
        <v>#NAME?</v>
      </c>
    </row>
    <row r="194" spans="2:2" x14ac:dyDescent="0.25">
      <c r="B194" t="e">
        <f ca="1">MOD(com.sun.star.sheet.addin.Analysis.getQuotient(IFERROR(CODE(MID(LLM!B2,25,1)),0),2^7),2)</f>
        <v>#NAME?</v>
      </c>
    </row>
    <row r="195" spans="2:2" x14ac:dyDescent="0.25">
      <c r="B195" t="e">
        <f ca="1">MOD(com.sun.star.sheet.addin.Analysis.getQuotient(IFERROR(CODE(MID(LLM!B2,25,1)),0),2^6),2)</f>
        <v>#NAME?</v>
      </c>
    </row>
    <row r="196" spans="2:2" x14ac:dyDescent="0.25">
      <c r="B196" t="e">
        <f ca="1">MOD(com.sun.star.sheet.addin.Analysis.getQuotient(IFERROR(CODE(MID(LLM!B2,25,1)),0),2^5),2)</f>
        <v>#NAME?</v>
      </c>
    </row>
    <row r="197" spans="2:2" x14ac:dyDescent="0.25">
      <c r="B197" t="e">
        <f ca="1">MOD(com.sun.star.sheet.addin.Analysis.getQuotient(IFERROR(CODE(MID(LLM!B2,25,1)),0),2^4),2)</f>
        <v>#NAME?</v>
      </c>
    </row>
    <row r="198" spans="2:2" x14ac:dyDescent="0.25">
      <c r="B198" t="e">
        <f ca="1">MOD(com.sun.star.sheet.addin.Analysis.getQuotient(IFERROR(CODE(MID(LLM!B2,25,1)),0),2^3),2)</f>
        <v>#NAME?</v>
      </c>
    </row>
    <row r="199" spans="2:2" x14ac:dyDescent="0.25">
      <c r="B199" t="e">
        <f ca="1">MOD(com.sun.star.sheet.addin.Analysis.getQuotient(IFERROR(CODE(MID(LLM!B2,25,1)),0),2^2),2)</f>
        <v>#NAME?</v>
      </c>
    </row>
    <row r="200" spans="2:2" x14ac:dyDescent="0.25">
      <c r="B200" t="e">
        <f ca="1">MOD(com.sun.star.sheet.addin.Analysis.getQuotient(IFERROR(CODE(MID(LLM!B2,25,1)),0),2^1),2)</f>
        <v>#NAME?</v>
      </c>
    </row>
    <row r="201" spans="2:2" x14ac:dyDescent="0.25">
      <c r="B201" t="e">
        <f ca="1">MOD(com.sun.star.sheet.addin.Analysis.getQuotient(IFERROR(CODE(MID(LLM!B2,25,1)),0),2^0),2)</f>
        <v>#NAME?</v>
      </c>
    </row>
    <row r="202" spans="2:2" x14ac:dyDescent="0.25">
      <c r="B202" t="e">
        <f ca="1">MOD(com.sun.star.sheet.addin.Analysis.getQuotient(IFERROR(CODE(MID(LLM!B2,26,1)),0),2^7),2)</f>
        <v>#NAME?</v>
      </c>
    </row>
    <row r="203" spans="2:2" x14ac:dyDescent="0.25">
      <c r="B203" t="e">
        <f ca="1">MOD(com.sun.star.sheet.addin.Analysis.getQuotient(IFERROR(CODE(MID(LLM!B2,26,1)),0),2^6),2)</f>
        <v>#NAME?</v>
      </c>
    </row>
    <row r="204" spans="2:2" x14ac:dyDescent="0.25">
      <c r="B204" t="e">
        <f ca="1">MOD(com.sun.star.sheet.addin.Analysis.getQuotient(IFERROR(CODE(MID(LLM!B2,26,1)),0),2^5),2)</f>
        <v>#NAME?</v>
      </c>
    </row>
    <row r="205" spans="2:2" x14ac:dyDescent="0.25">
      <c r="B205" t="e">
        <f ca="1">MOD(com.sun.star.sheet.addin.Analysis.getQuotient(IFERROR(CODE(MID(LLM!B2,26,1)),0),2^4),2)</f>
        <v>#NAME?</v>
      </c>
    </row>
    <row r="206" spans="2:2" x14ac:dyDescent="0.25">
      <c r="B206" t="e">
        <f ca="1">MOD(com.sun.star.sheet.addin.Analysis.getQuotient(IFERROR(CODE(MID(LLM!B2,26,1)),0),2^3),2)</f>
        <v>#NAME?</v>
      </c>
    </row>
    <row r="207" spans="2:2" x14ac:dyDescent="0.25">
      <c r="B207" t="e">
        <f ca="1">MOD(com.sun.star.sheet.addin.Analysis.getQuotient(IFERROR(CODE(MID(LLM!B2,26,1)),0),2^2),2)</f>
        <v>#NAME?</v>
      </c>
    </row>
    <row r="208" spans="2:2" x14ac:dyDescent="0.25">
      <c r="B208" t="e">
        <f ca="1">MOD(com.sun.star.sheet.addin.Analysis.getQuotient(IFERROR(CODE(MID(LLM!B2,26,1)),0),2^1),2)</f>
        <v>#NAME?</v>
      </c>
    </row>
    <row r="209" spans="2:2" x14ac:dyDescent="0.25">
      <c r="B209" t="e">
        <f ca="1">MOD(com.sun.star.sheet.addin.Analysis.getQuotient(IFERROR(CODE(MID(LLM!B2,26,1)),0),2^0),2)</f>
        <v>#NAME?</v>
      </c>
    </row>
    <row r="210" spans="2:2" x14ac:dyDescent="0.25">
      <c r="B210" t="e">
        <f ca="1">MOD(com.sun.star.sheet.addin.Analysis.getQuotient(IFERROR(CODE(MID(LLM!B2,27,1)),0),2^7),2)</f>
        <v>#NAME?</v>
      </c>
    </row>
    <row r="211" spans="2:2" x14ac:dyDescent="0.25">
      <c r="B211" t="e">
        <f ca="1">MOD(com.sun.star.sheet.addin.Analysis.getQuotient(IFERROR(CODE(MID(LLM!B2,27,1)),0),2^6),2)</f>
        <v>#NAME?</v>
      </c>
    </row>
    <row r="212" spans="2:2" x14ac:dyDescent="0.25">
      <c r="B212" t="e">
        <f ca="1">MOD(com.sun.star.sheet.addin.Analysis.getQuotient(IFERROR(CODE(MID(LLM!B2,27,1)),0),2^5),2)</f>
        <v>#NAME?</v>
      </c>
    </row>
    <row r="213" spans="2:2" x14ac:dyDescent="0.25">
      <c r="B213" t="e">
        <f ca="1">MOD(com.sun.star.sheet.addin.Analysis.getQuotient(IFERROR(CODE(MID(LLM!B2,27,1)),0),2^4),2)</f>
        <v>#NAME?</v>
      </c>
    </row>
    <row r="214" spans="2:2" x14ac:dyDescent="0.25">
      <c r="B214" t="e">
        <f ca="1">MOD(com.sun.star.sheet.addin.Analysis.getQuotient(IFERROR(CODE(MID(LLM!B2,27,1)),0),2^3),2)</f>
        <v>#NAME?</v>
      </c>
    </row>
    <row r="215" spans="2:2" x14ac:dyDescent="0.25">
      <c r="B215" t="e">
        <f ca="1">MOD(com.sun.star.sheet.addin.Analysis.getQuotient(IFERROR(CODE(MID(LLM!B2,27,1)),0),2^2),2)</f>
        <v>#NAME?</v>
      </c>
    </row>
    <row r="216" spans="2:2" x14ac:dyDescent="0.25">
      <c r="B216" t="e">
        <f ca="1">MOD(com.sun.star.sheet.addin.Analysis.getQuotient(IFERROR(CODE(MID(LLM!B2,27,1)),0),2^1),2)</f>
        <v>#NAME?</v>
      </c>
    </row>
    <row r="217" spans="2:2" x14ac:dyDescent="0.25">
      <c r="B217" t="e">
        <f ca="1">MOD(com.sun.star.sheet.addin.Analysis.getQuotient(IFERROR(CODE(MID(LLM!B2,27,1)),0),2^0),2)</f>
        <v>#NAME?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702"/>
  <sheetViews>
    <sheetView topLeftCell="A40" zoomScaleNormal="100" workbookViewId="0"/>
  </sheetViews>
  <sheetFormatPr defaultColWidth="8.5703125" defaultRowHeight="15" x14ac:dyDescent="0.25"/>
  <sheetData>
    <row r="2" spans="1:8" x14ac:dyDescent="0.25">
      <c r="A2">
        <v>-15</v>
      </c>
      <c r="B2">
        <v>55</v>
      </c>
      <c r="C2">
        <v>28</v>
      </c>
      <c r="D2">
        <v>12</v>
      </c>
      <c r="E2">
        <v>-42</v>
      </c>
      <c r="F2">
        <v>-42</v>
      </c>
      <c r="G2">
        <v>-54</v>
      </c>
      <c r="H2">
        <v>45</v>
      </c>
    </row>
    <row r="3" spans="1:8" x14ac:dyDescent="0.25">
      <c r="A3">
        <v>12</v>
      </c>
      <c r="B3">
        <v>-351</v>
      </c>
      <c r="C3">
        <v>-73</v>
      </c>
      <c r="D3">
        <v>97</v>
      </c>
      <c r="E3">
        <v>280</v>
      </c>
      <c r="F3">
        <v>-54</v>
      </c>
      <c r="G3">
        <v>-209</v>
      </c>
      <c r="H3">
        <v>-39</v>
      </c>
    </row>
    <row r="4" spans="1:8" x14ac:dyDescent="0.25">
      <c r="A4">
        <v>-24</v>
      </c>
      <c r="B4">
        <v>-335</v>
      </c>
      <c r="C4">
        <v>-54</v>
      </c>
      <c r="D4">
        <v>137</v>
      </c>
      <c r="E4">
        <v>262</v>
      </c>
      <c r="F4">
        <v>-60</v>
      </c>
      <c r="G4">
        <v>-165</v>
      </c>
      <c r="H4">
        <v>1</v>
      </c>
    </row>
    <row r="5" spans="1:8" x14ac:dyDescent="0.25">
      <c r="A5">
        <v>-5</v>
      </c>
      <c r="B5">
        <v>-287</v>
      </c>
      <c r="C5">
        <v>-49</v>
      </c>
      <c r="D5">
        <v>249</v>
      </c>
      <c r="E5">
        <v>334</v>
      </c>
      <c r="F5">
        <v>-391</v>
      </c>
      <c r="G5">
        <v>-161</v>
      </c>
      <c r="H5">
        <v>-40</v>
      </c>
    </row>
    <row r="6" spans="1:8" x14ac:dyDescent="0.25">
      <c r="A6">
        <v>-53</v>
      </c>
      <c r="B6">
        <v>-305</v>
      </c>
      <c r="C6">
        <v>6</v>
      </c>
      <c r="D6">
        <v>-47</v>
      </c>
      <c r="E6">
        <v>-710</v>
      </c>
      <c r="F6">
        <v>401</v>
      </c>
      <c r="G6">
        <v>364</v>
      </c>
      <c r="H6">
        <v>-7</v>
      </c>
    </row>
    <row r="7" spans="1:8" x14ac:dyDescent="0.25">
      <c r="A7">
        <v>-46</v>
      </c>
      <c r="B7">
        <v>-263</v>
      </c>
      <c r="C7">
        <v>-62</v>
      </c>
      <c r="D7">
        <v>-64</v>
      </c>
      <c r="E7">
        <v>-606</v>
      </c>
      <c r="F7">
        <v>734</v>
      </c>
      <c r="G7">
        <v>180</v>
      </c>
      <c r="H7">
        <v>16</v>
      </c>
    </row>
    <row r="8" spans="1:8" x14ac:dyDescent="0.25">
      <c r="A8">
        <v>6</v>
      </c>
      <c r="B8">
        <v>-244</v>
      </c>
      <c r="C8">
        <v>7</v>
      </c>
      <c r="D8">
        <v>158</v>
      </c>
      <c r="E8">
        <v>430</v>
      </c>
      <c r="F8">
        <v>181</v>
      </c>
      <c r="G8">
        <v>-187</v>
      </c>
      <c r="H8">
        <v>69</v>
      </c>
    </row>
    <row r="9" spans="1:8" x14ac:dyDescent="0.25">
      <c r="A9">
        <v>-50</v>
      </c>
      <c r="B9">
        <v>-234</v>
      </c>
      <c r="C9">
        <v>-60</v>
      </c>
      <c r="D9">
        <v>222</v>
      </c>
      <c r="E9">
        <v>455</v>
      </c>
      <c r="F9">
        <v>-251</v>
      </c>
      <c r="G9">
        <v>-84</v>
      </c>
      <c r="H9">
        <v>-18</v>
      </c>
    </row>
    <row r="10" spans="1:8" x14ac:dyDescent="0.25">
      <c r="A10">
        <v>-27</v>
      </c>
    </row>
    <row r="11" spans="1:8" x14ac:dyDescent="0.25">
      <c r="A11">
        <v>-527</v>
      </c>
    </row>
    <row r="12" spans="1:8" x14ac:dyDescent="0.25">
      <c r="A12">
        <v>-99</v>
      </c>
    </row>
    <row r="13" spans="1:8" x14ac:dyDescent="0.25">
      <c r="A13">
        <v>217</v>
      </c>
    </row>
    <row r="14" spans="1:8" x14ac:dyDescent="0.25">
      <c r="A14">
        <v>-384</v>
      </c>
    </row>
    <row r="15" spans="1:8" x14ac:dyDescent="0.25">
      <c r="A15">
        <v>577</v>
      </c>
    </row>
    <row r="16" spans="1:8" x14ac:dyDescent="0.25">
      <c r="A16">
        <v>94</v>
      </c>
    </row>
    <row r="17" spans="1:8" x14ac:dyDescent="0.25">
      <c r="A17">
        <v>-19</v>
      </c>
    </row>
    <row r="18" spans="1:8" x14ac:dyDescent="0.25">
      <c r="A18">
        <v>-81</v>
      </c>
    </row>
    <row r="19" spans="1:8" x14ac:dyDescent="0.25">
      <c r="A19">
        <v>-493</v>
      </c>
    </row>
    <row r="20" spans="1:8" x14ac:dyDescent="0.25">
      <c r="A20">
        <v>3</v>
      </c>
    </row>
    <row r="21" spans="1:8" x14ac:dyDescent="0.25">
      <c r="A21">
        <v>-1303</v>
      </c>
    </row>
    <row r="22" spans="1:8" x14ac:dyDescent="0.25">
      <c r="A22">
        <v>1185</v>
      </c>
    </row>
    <row r="23" spans="1:8" x14ac:dyDescent="0.25">
      <c r="A23">
        <v>-777</v>
      </c>
    </row>
    <row r="24" spans="1:8" x14ac:dyDescent="0.25">
      <c r="A24">
        <v>-322</v>
      </c>
    </row>
    <row r="25" spans="1:8" x14ac:dyDescent="0.25">
      <c r="A25">
        <v>-63</v>
      </c>
    </row>
    <row r="26" spans="1:8" x14ac:dyDescent="0.25">
      <c r="A26">
        <v>-1060</v>
      </c>
    </row>
    <row r="28" spans="1:8" x14ac:dyDescent="0.25">
      <c r="A28">
        <v>-15</v>
      </c>
      <c r="B28">
        <v>55</v>
      </c>
      <c r="C28">
        <v>28</v>
      </c>
      <c r="D28">
        <v>12</v>
      </c>
      <c r="E28">
        <v>-42</v>
      </c>
      <c r="F28">
        <v>-42</v>
      </c>
      <c r="G28">
        <v>-54</v>
      </c>
      <c r="H28">
        <v>45</v>
      </c>
    </row>
    <row r="29" spans="1:8" x14ac:dyDescent="0.25">
      <c r="A29">
        <v>12</v>
      </c>
      <c r="B29">
        <v>505</v>
      </c>
      <c r="C29">
        <v>-79</v>
      </c>
      <c r="D29">
        <v>71</v>
      </c>
      <c r="E29">
        <v>-289</v>
      </c>
      <c r="F29">
        <v>127</v>
      </c>
      <c r="G29">
        <v>-18</v>
      </c>
      <c r="H29">
        <v>-39</v>
      </c>
    </row>
    <row r="30" spans="1:8" x14ac:dyDescent="0.25">
      <c r="A30">
        <v>-24</v>
      </c>
      <c r="B30">
        <v>535</v>
      </c>
      <c r="C30">
        <v>-68</v>
      </c>
      <c r="D30">
        <v>48</v>
      </c>
      <c r="E30">
        <v>-226</v>
      </c>
      <c r="F30">
        <v>107</v>
      </c>
      <c r="G30">
        <v>25</v>
      </c>
      <c r="H30">
        <v>-3</v>
      </c>
    </row>
    <row r="31" spans="1:8" x14ac:dyDescent="0.25">
      <c r="A31">
        <v>-5</v>
      </c>
      <c r="B31">
        <v>548</v>
      </c>
      <c r="C31">
        <v>-46</v>
      </c>
      <c r="D31">
        <v>147</v>
      </c>
      <c r="E31">
        <v>-203</v>
      </c>
      <c r="F31">
        <v>-6</v>
      </c>
      <c r="G31">
        <v>62</v>
      </c>
      <c r="H31">
        <v>-40</v>
      </c>
    </row>
    <row r="32" spans="1:8" x14ac:dyDescent="0.25">
      <c r="A32">
        <v>-53</v>
      </c>
      <c r="B32">
        <v>-983</v>
      </c>
      <c r="C32">
        <v>-6</v>
      </c>
      <c r="D32">
        <v>-405</v>
      </c>
      <c r="E32">
        <v>-170</v>
      </c>
      <c r="F32">
        <v>831</v>
      </c>
      <c r="G32">
        <v>730</v>
      </c>
      <c r="H32">
        <v>-7</v>
      </c>
    </row>
    <row r="33" spans="1:8" x14ac:dyDescent="0.25">
      <c r="A33">
        <v>-46</v>
      </c>
      <c r="B33">
        <v>773</v>
      </c>
      <c r="C33">
        <v>-65</v>
      </c>
      <c r="D33">
        <v>196</v>
      </c>
      <c r="E33">
        <v>-147</v>
      </c>
      <c r="F33">
        <v>-6</v>
      </c>
      <c r="G33">
        <v>-201</v>
      </c>
      <c r="H33">
        <v>17</v>
      </c>
    </row>
    <row r="34" spans="1:8" x14ac:dyDescent="0.25">
      <c r="A34">
        <v>6</v>
      </c>
      <c r="B34">
        <v>-515</v>
      </c>
      <c r="C34">
        <v>-4</v>
      </c>
      <c r="D34">
        <v>-365</v>
      </c>
      <c r="E34">
        <v>-302</v>
      </c>
      <c r="F34">
        <v>760</v>
      </c>
      <c r="G34">
        <v>424</v>
      </c>
      <c r="H34">
        <v>65</v>
      </c>
    </row>
    <row r="35" spans="1:8" x14ac:dyDescent="0.25">
      <c r="A35">
        <v>-50</v>
      </c>
      <c r="B35">
        <v>824</v>
      </c>
      <c r="C35">
        <v>-63</v>
      </c>
      <c r="D35">
        <v>167</v>
      </c>
      <c r="E35">
        <v>-156</v>
      </c>
      <c r="F35">
        <v>-112</v>
      </c>
      <c r="G35">
        <v>43</v>
      </c>
      <c r="H35">
        <v>-18</v>
      </c>
    </row>
    <row r="36" spans="1:8" x14ac:dyDescent="0.25">
      <c r="A36">
        <v>-27</v>
      </c>
    </row>
    <row r="37" spans="1:8" x14ac:dyDescent="0.25">
      <c r="A37">
        <v>-182</v>
      </c>
    </row>
    <row r="38" spans="1:8" x14ac:dyDescent="0.25">
      <c r="A38">
        <v>-114</v>
      </c>
    </row>
    <row r="39" spans="1:8" x14ac:dyDescent="0.25">
      <c r="A39">
        <v>-241</v>
      </c>
    </row>
    <row r="40" spans="1:8" x14ac:dyDescent="0.25">
      <c r="A40">
        <v>-431</v>
      </c>
    </row>
    <row r="41" spans="1:8" x14ac:dyDescent="0.25">
      <c r="A41">
        <v>1162</v>
      </c>
    </row>
    <row r="42" spans="1:8" x14ac:dyDescent="0.25">
      <c r="A42">
        <v>596</v>
      </c>
    </row>
    <row r="43" spans="1:8" x14ac:dyDescent="0.25">
      <c r="A43">
        <v>-23</v>
      </c>
    </row>
    <row r="44" spans="1:8" x14ac:dyDescent="0.25">
      <c r="A44">
        <v>-81</v>
      </c>
    </row>
    <row r="45" spans="1:8" x14ac:dyDescent="0.25">
      <c r="A45">
        <v>616</v>
      </c>
    </row>
    <row r="46" spans="1:8" x14ac:dyDescent="0.25">
      <c r="A46">
        <v>0</v>
      </c>
    </row>
    <row r="47" spans="1:8" x14ac:dyDescent="0.25">
      <c r="A47">
        <v>313</v>
      </c>
    </row>
    <row r="48" spans="1:8" x14ac:dyDescent="0.25">
      <c r="A48">
        <v>-169</v>
      </c>
    </row>
    <row r="49" spans="1:8" x14ac:dyDescent="0.25">
      <c r="A49">
        <v>-1185</v>
      </c>
    </row>
    <row r="50" spans="1:8" x14ac:dyDescent="0.25">
      <c r="A50">
        <v>-639</v>
      </c>
    </row>
    <row r="51" spans="1:8" x14ac:dyDescent="0.25">
      <c r="A51">
        <v>-63</v>
      </c>
    </row>
    <row r="52" spans="1:8" x14ac:dyDescent="0.25">
      <c r="A52">
        <v>-155</v>
      </c>
    </row>
    <row r="54" spans="1:8" x14ac:dyDescent="0.25">
      <c r="A54">
        <v>-15</v>
      </c>
      <c r="B54">
        <v>55</v>
      </c>
      <c r="C54">
        <v>28</v>
      </c>
      <c r="D54">
        <v>12</v>
      </c>
      <c r="E54">
        <v>-42</v>
      </c>
      <c r="F54">
        <v>-42</v>
      </c>
      <c r="G54">
        <v>-54</v>
      </c>
      <c r="H54">
        <v>45</v>
      </c>
    </row>
    <row r="55" spans="1:8" x14ac:dyDescent="0.25">
      <c r="A55">
        <v>12</v>
      </c>
      <c r="B55">
        <v>103</v>
      </c>
      <c r="C55">
        <v>-78</v>
      </c>
      <c r="D55">
        <v>19</v>
      </c>
      <c r="E55">
        <v>362</v>
      </c>
      <c r="F55">
        <v>-105</v>
      </c>
      <c r="G55">
        <v>-37</v>
      </c>
      <c r="H55">
        <v>-53</v>
      </c>
    </row>
    <row r="56" spans="1:8" x14ac:dyDescent="0.25">
      <c r="A56">
        <v>-24</v>
      </c>
      <c r="B56">
        <v>160</v>
      </c>
      <c r="C56">
        <v>-60</v>
      </c>
      <c r="D56">
        <v>9</v>
      </c>
      <c r="E56">
        <v>418</v>
      </c>
      <c r="F56">
        <v>-135</v>
      </c>
      <c r="G56">
        <v>-19</v>
      </c>
      <c r="H56">
        <v>20</v>
      </c>
    </row>
    <row r="57" spans="1:8" x14ac:dyDescent="0.25">
      <c r="A57">
        <v>-5</v>
      </c>
      <c r="B57">
        <v>-570</v>
      </c>
      <c r="C57">
        <v>-47</v>
      </c>
      <c r="D57">
        <v>-521</v>
      </c>
      <c r="E57">
        <v>-298</v>
      </c>
      <c r="F57">
        <v>138</v>
      </c>
      <c r="G57">
        <v>425</v>
      </c>
      <c r="H57">
        <v>-40</v>
      </c>
    </row>
    <row r="58" spans="1:8" x14ac:dyDescent="0.25">
      <c r="A58">
        <v>-53</v>
      </c>
      <c r="B58">
        <v>169</v>
      </c>
      <c r="C58">
        <v>-1</v>
      </c>
      <c r="D58">
        <v>118</v>
      </c>
      <c r="E58">
        <v>462</v>
      </c>
      <c r="F58">
        <v>-360</v>
      </c>
      <c r="G58">
        <v>113</v>
      </c>
      <c r="H58">
        <v>14</v>
      </c>
    </row>
    <row r="59" spans="1:8" x14ac:dyDescent="0.25">
      <c r="A59">
        <v>-46</v>
      </c>
      <c r="B59">
        <v>280</v>
      </c>
      <c r="C59">
        <v>-63</v>
      </c>
      <c r="D59">
        <v>148</v>
      </c>
      <c r="E59">
        <v>478</v>
      </c>
      <c r="F59">
        <v>33</v>
      </c>
      <c r="G59">
        <v>-3</v>
      </c>
      <c r="H59">
        <v>37</v>
      </c>
    </row>
    <row r="60" spans="1:8" x14ac:dyDescent="0.25">
      <c r="A60">
        <v>6</v>
      </c>
      <c r="B60">
        <v>362</v>
      </c>
      <c r="C60">
        <v>0</v>
      </c>
      <c r="D60">
        <v>192</v>
      </c>
      <c r="E60">
        <v>357</v>
      </c>
      <c r="F60">
        <v>160</v>
      </c>
      <c r="G60">
        <v>-52</v>
      </c>
      <c r="H60">
        <v>90</v>
      </c>
    </row>
    <row r="61" spans="1:8" x14ac:dyDescent="0.25">
      <c r="A61">
        <v>-50</v>
      </c>
      <c r="B61">
        <v>-408</v>
      </c>
      <c r="C61">
        <v>-61</v>
      </c>
      <c r="D61">
        <v>-491</v>
      </c>
      <c r="E61">
        <v>-225</v>
      </c>
      <c r="F61">
        <v>262</v>
      </c>
      <c r="G61">
        <v>444</v>
      </c>
      <c r="H61">
        <v>-18</v>
      </c>
    </row>
    <row r="62" spans="1:8" x14ac:dyDescent="0.25">
      <c r="A62">
        <v>-27</v>
      </c>
    </row>
    <row r="63" spans="1:8" x14ac:dyDescent="0.25">
      <c r="A63">
        <v>-240</v>
      </c>
    </row>
    <row r="64" spans="1:8" x14ac:dyDescent="0.25">
      <c r="A64">
        <v>-107</v>
      </c>
    </row>
    <row r="65" spans="1:8" x14ac:dyDescent="0.25">
      <c r="A65">
        <v>-387</v>
      </c>
    </row>
    <row r="66" spans="1:8" x14ac:dyDescent="0.25">
      <c r="A66">
        <v>75</v>
      </c>
    </row>
    <row r="67" spans="1:8" x14ac:dyDescent="0.25">
      <c r="A67">
        <v>373</v>
      </c>
    </row>
    <row r="68" spans="1:8" x14ac:dyDescent="0.25">
      <c r="A68">
        <v>549</v>
      </c>
    </row>
    <row r="69" spans="1:8" x14ac:dyDescent="0.25">
      <c r="A69">
        <v>2</v>
      </c>
    </row>
    <row r="70" spans="1:8" x14ac:dyDescent="0.25">
      <c r="A70">
        <v>-81</v>
      </c>
    </row>
    <row r="71" spans="1:8" x14ac:dyDescent="0.25">
      <c r="A71">
        <v>47</v>
      </c>
    </row>
    <row r="72" spans="1:8" x14ac:dyDescent="0.25">
      <c r="A72">
        <v>0</v>
      </c>
    </row>
    <row r="73" spans="1:8" x14ac:dyDescent="0.25">
      <c r="A73">
        <v>269</v>
      </c>
    </row>
    <row r="74" spans="1:8" x14ac:dyDescent="0.25">
      <c r="A74">
        <v>326</v>
      </c>
    </row>
    <row r="75" spans="1:8" x14ac:dyDescent="0.25">
      <c r="A75">
        <v>-378</v>
      </c>
    </row>
    <row r="76" spans="1:8" x14ac:dyDescent="0.25">
      <c r="A76">
        <v>-952</v>
      </c>
    </row>
    <row r="77" spans="1:8" x14ac:dyDescent="0.25">
      <c r="A77">
        <v>-73</v>
      </c>
    </row>
    <row r="78" spans="1:8" x14ac:dyDescent="0.25">
      <c r="A78">
        <v>-1131</v>
      </c>
    </row>
    <row r="80" spans="1:8" x14ac:dyDescent="0.25">
      <c r="A80">
        <v>-15</v>
      </c>
      <c r="B80">
        <v>55</v>
      </c>
      <c r="C80">
        <v>28</v>
      </c>
      <c r="D80">
        <v>12</v>
      </c>
      <c r="E80">
        <v>-42</v>
      </c>
      <c r="F80">
        <v>-42</v>
      </c>
      <c r="G80">
        <v>-54</v>
      </c>
      <c r="H80">
        <v>45</v>
      </c>
    </row>
    <row r="81" spans="1:8" x14ac:dyDescent="0.25">
      <c r="A81">
        <v>12</v>
      </c>
      <c r="B81">
        <v>233</v>
      </c>
      <c r="C81">
        <v>-83</v>
      </c>
      <c r="D81">
        <v>-75</v>
      </c>
      <c r="E81">
        <v>568</v>
      </c>
      <c r="F81">
        <v>476</v>
      </c>
      <c r="G81">
        <v>-193</v>
      </c>
      <c r="H81">
        <v>-39</v>
      </c>
    </row>
    <row r="82" spans="1:8" x14ac:dyDescent="0.25">
      <c r="A82">
        <v>-24</v>
      </c>
      <c r="B82">
        <v>270</v>
      </c>
      <c r="C82">
        <v>-86</v>
      </c>
      <c r="D82">
        <v>-79</v>
      </c>
      <c r="E82">
        <v>592</v>
      </c>
      <c r="F82">
        <v>518</v>
      </c>
      <c r="G82">
        <v>-179</v>
      </c>
      <c r="H82">
        <v>6</v>
      </c>
    </row>
    <row r="83" spans="1:8" x14ac:dyDescent="0.25">
      <c r="A83">
        <v>-5</v>
      </c>
      <c r="B83">
        <v>356</v>
      </c>
      <c r="C83">
        <v>-51</v>
      </c>
      <c r="D83">
        <v>179</v>
      </c>
      <c r="E83">
        <v>565</v>
      </c>
      <c r="F83">
        <v>281</v>
      </c>
      <c r="G83">
        <v>-175</v>
      </c>
      <c r="H83">
        <v>-40</v>
      </c>
    </row>
    <row r="84" spans="1:8" x14ac:dyDescent="0.25">
      <c r="A84">
        <v>-53</v>
      </c>
      <c r="B84">
        <v>318</v>
      </c>
      <c r="C84">
        <v>-25</v>
      </c>
      <c r="D84">
        <v>175</v>
      </c>
      <c r="E84">
        <v>686</v>
      </c>
      <c r="F84">
        <v>232</v>
      </c>
      <c r="G84">
        <v>-129</v>
      </c>
      <c r="H84">
        <v>-7</v>
      </c>
    </row>
    <row r="85" spans="1:8" x14ac:dyDescent="0.25">
      <c r="A85">
        <v>-46</v>
      </c>
      <c r="B85">
        <v>-709</v>
      </c>
      <c r="C85">
        <v>-67</v>
      </c>
      <c r="D85">
        <v>-417</v>
      </c>
      <c r="E85">
        <v>-430</v>
      </c>
      <c r="F85">
        <v>738</v>
      </c>
      <c r="G85">
        <v>199</v>
      </c>
      <c r="H85">
        <v>20</v>
      </c>
    </row>
    <row r="86" spans="1:8" x14ac:dyDescent="0.25">
      <c r="A86">
        <v>6</v>
      </c>
      <c r="B86">
        <v>629</v>
      </c>
      <c r="C86">
        <v>-23</v>
      </c>
      <c r="D86">
        <v>23</v>
      </c>
      <c r="E86">
        <v>768</v>
      </c>
      <c r="F86">
        <v>500</v>
      </c>
      <c r="G86">
        <v>-190</v>
      </c>
      <c r="H86">
        <v>74</v>
      </c>
    </row>
    <row r="87" spans="1:8" x14ac:dyDescent="0.25">
      <c r="A87">
        <v>-50</v>
      </c>
      <c r="B87">
        <v>587</v>
      </c>
      <c r="C87">
        <v>-65</v>
      </c>
      <c r="D87">
        <v>146</v>
      </c>
      <c r="E87">
        <v>719</v>
      </c>
      <c r="F87">
        <v>350</v>
      </c>
      <c r="G87">
        <v>-112</v>
      </c>
      <c r="H87">
        <v>-17</v>
      </c>
    </row>
    <row r="88" spans="1:8" x14ac:dyDescent="0.25">
      <c r="A88">
        <v>-27</v>
      </c>
    </row>
    <row r="89" spans="1:8" x14ac:dyDescent="0.25">
      <c r="A89">
        <v>-287</v>
      </c>
    </row>
    <row r="90" spans="1:8" x14ac:dyDescent="0.25">
      <c r="A90">
        <v>-135</v>
      </c>
    </row>
    <row r="91" spans="1:8" x14ac:dyDescent="0.25">
      <c r="A91">
        <v>-173</v>
      </c>
    </row>
    <row r="92" spans="1:8" x14ac:dyDescent="0.25">
      <c r="A92">
        <v>-49</v>
      </c>
    </row>
    <row r="93" spans="1:8" x14ac:dyDescent="0.25">
      <c r="A93">
        <v>1334</v>
      </c>
    </row>
    <row r="94" spans="1:8" x14ac:dyDescent="0.25">
      <c r="A94">
        <v>93</v>
      </c>
    </row>
    <row r="95" spans="1:8" x14ac:dyDescent="0.25">
      <c r="A95">
        <v>-14</v>
      </c>
    </row>
    <row r="96" spans="1:8" x14ac:dyDescent="0.25">
      <c r="A96">
        <v>-81</v>
      </c>
    </row>
    <row r="97" spans="1:8" x14ac:dyDescent="0.25">
      <c r="A97">
        <v>120</v>
      </c>
    </row>
    <row r="98" spans="1:8" x14ac:dyDescent="0.25">
      <c r="A98">
        <v>-11</v>
      </c>
    </row>
    <row r="99" spans="1:8" x14ac:dyDescent="0.25">
      <c r="A99">
        <v>-825</v>
      </c>
    </row>
    <row r="100" spans="1:8" x14ac:dyDescent="0.25">
      <c r="A100">
        <v>970</v>
      </c>
    </row>
    <row r="101" spans="1:8" x14ac:dyDescent="0.25">
      <c r="A101">
        <v>-971</v>
      </c>
    </row>
    <row r="102" spans="1:8" x14ac:dyDescent="0.25">
      <c r="A102">
        <v>226</v>
      </c>
    </row>
    <row r="103" spans="1:8" x14ac:dyDescent="0.25">
      <c r="A103">
        <v>-63</v>
      </c>
    </row>
    <row r="104" spans="1:8" x14ac:dyDescent="0.25">
      <c r="A104">
        <v>-1317</v>
      </c>
    </row>
    <row r="106" spans="1:8" x14ac:dyDescent="0.25">
      <c r="A106">
        <v>-15</v>
      </c>
      <c r="B106">
        <v>55</v>
      </c>
      <c r="C106">
        <v>28</v>
      </c>
      <c r="D106">
        <v>12</v>
      </c>
      <c r="E106">
        <v>-42</v>
      </c>
      <c r="F106">
        <v>-42</v>
      </c>
      <c r="G106">
        <v>-54</v>
      </c>
      <c r="H106">
        <v>45</v>
      </c>
    </row>
    <row r="107" spans="1:8" x14ac:dyDescent="0.25">
      <c r="A107">
        <v>12</v>
      </c>
      <c r="B107">
        <v>103</v>
      </c>
      <c r="C107">
        <v>-78</v>
      </c>
      <c r="D107">
        <v>19</v>
      </c>
      <c r="E107">
        <v>362</v>
      </c>
      <c r="F107">
        <v>-105</v>
      </c>
      <c r="G107">
        <v>-37</v>
      </c>
      <c r="H107">
        <v>-53</v>
      </c>
    </row>
    <row r="108" spans="1:8" x14ac:dyDescent="0.25">
      <c r="A108">
        <v>-24</v>
      </c>
      <c r="B108">
        <v>160</v>
      </c>
      <c r="C108">
        <v>-60</v>
      </c>
      <c r="D108">
        <v>9</v>
      </c>
      <c r="E108">
        <v>418</v>
      </c>
      <c r="F108">
        <v>-135</v>
      </c>
      <c r="G108">
        <v>-19</v>
      </c>
      <c r="H108">
        <v>20</v>
      </c>
    </row>
    <row r="109" spans="1:8" x14ac:dyDescent="0.25">
      <c r="A109">
        <v>-5</v>
      </c>
      <c r="B109">
        <v>-570</v>
      </c>
      <c r="C109">
        <v>-47</v>
      </c>
      <c r="D109">
        <v>-521</v>
      </c>
      <c r="E109">
        <v>-298</v>
      </c>
      <c r="F109">
        <v>138</v>
      </c>
      <c r="G109">
        <v>425</v>
      </c>
      <c r="H109">
        <v>-40</v>
      </c>
    </row>
    <row r="110" spans="1:8" x14ac:dyDescent="0.25">
      <c r="A110">
        <v>-53</v>
      </c>
      <c r="B110">
        <v>169</v>
      </c>
      <c r="C110">
        <v>-1</v>
      </c>
      <c r="D110">
        <v>118</v>
      </c>
      <c r="E110">
        <v>462</v>
      </c>
      <c r="F110">
        <v>-360</v>
      </c>
      <c r="G110">
        <v>113</v>
      </c>
      <c r="H110">
        <v>14</v>
      </c>
    </row>
    <row r="111" spans="1:8" x14ac:dyDescent="0.25">
      <c r="A111">
        <v>-46</v>
      </c>
      <c r="B111">
        <v>280</v>
      </c>
      <c r="C111">
        <v>-63</v>
      </c>
      <c r="D111">
        <v>148</v>
      </c>
      <c r="E111">
        <v>478</v>
      </c>
      <c r="F111">
        <v>33</v>
      </c>
      <c r="G111">
        <v>-3</v>
      </c>
      <c r="H111">
        <v>37</v>
      </c>
    </row>
    <row r="112" spans="1:8" x14ac:dyDescent="0.25">
      <c r="A112">
        <v>6</v>
      </c>
      <c r="B112">
        <v>362</v>
      </c>
      <c r="C112">
        <v>0</v>
      </c>
      <c r="D112">
        <v>192</v>
      </c>
      <c r="E112">
        <v>357</v>
      </c>
      <c r="F112">
        <v>160</v>
      </c>
      <c r="G112">
        <v>-52</v>
      </c>
      <c r="H112">
        <v>90</v>
      </c>
    </row>
    <row r="113" spans="1:8" x14ac:dyDescent="0.25">
      <c r="A113">
        <v>-50</v>
      </c>
      <c r="B113">
        <v>-408</v>
      </c>
      <c r="C113">
        <v>-61</v>
      </c>
      <c r="D113">
        <v>-491</v>
      </c>
      <c r="E113">
        <v>-225</v>
      </c>
      <c r="F113">
        <v>262</v>
      </c>
      <c r="G113">
        <v>444</v>
      </c>
      <c r="H113">
        <v>-18</v>
      </c>
    </row>
    <row r="114" spans="1:8" x14ac:dyDescent="0.25">
      <c r="A114">
        <v>-27</v>
      </c>
    </row>
    <row r="115" spans="1:8" x14ac:dyDescent="0.25">
      <c r="A115">
        <v>-240</v>
      </c>
    </row>
    <row r="116" spans="1:8" x14ac:dyDescent="0.25">
      <c r="A116">
        <v>-107</v>
      </c>
    </row>
    <row r="117" spans="1:8" x14ac:dyDescent="0.25">
      <c r="A117">
        <v>-387</v>
      </c>
    </row>
    <row r="118" spans="1:8" x14ac:dyDescent="0.25">
      <c r="A118">
        <v>75</v>
      </c>
    </row>
    <row r="119" spans="1:8" x14ac:dyDescent="0.25">
      <c r="A119">
        <v>373</v>
      </c>
    </row>
    <row r="120" spans="1:8" x14ac:dyDescent="0.25">
      <c r="A120">
        <v>549</v>
      </c>
    </row>
    <row r="121" spans="1:8" x14ac:dyDescent="0.25">
      <c r="A121">
        <v>2</v>
      </c>
    </row>
    <row r="122" spans="1:8" x14ac:dyDescent="0.25">
      <c r="A122">
        <v>-81</v>
      </c>
    </row>
    <row r="123" spans="1:8" x14ac:dyDescent="0.25">
      <c r="A123">
        <v>47</v>
      </c>
    </row>
    <row r="124" spans="1:8" x14ac:dyDescent="0.25">
      <c r="A124">
        <v>0</v>
      </c>
    </row>
    <row r="125" spans="1:8" x14ac:dyDescent="0.25">
      <c r="A125">
        <v>269</v>
      </c>
    </row>
    <row r="126" spans="1:8" x14ac:dyDescent="0.25">
      <c r="A126">
        <v>326</v>
      </c>
    </row>
    <row r="127" spans="1:8" x14ac:dyDescent="0.25">
      <c r="A127">
        <v>-378</v>
      </c>
    </row>
    <row r="128" spans="1:8" x14ac:dyDescent="0.25">
      <c r="A128">
        <v>-952</v>
      </c>
    </row>
    <row r="129" spans="1:8" x14ac:dyDescent="0.25">
      <c r="A129">
        <v>-73</v>
      </c>
    </row>
    <row r="130" spans="1:8" x14ac:dyDescent="0.25">
      <c r="A130">
        <v>-1131</v>
      </c>
    </row>
    <row r="132" spans="1:8" x14ac:dyDescent="0.25">
      <c r="A132">
        <v>-15</v>
      </c>
      <c r="B132">
        <v>55</v>
      </c>
      <c r="C132">
        <v>28</v>
      </c>
      <c r="D132">
        <v>12</v>
      </c>
      <c r="E132">
        <v>-42</v>
      </c>
      <c r="F132">
        <v>-42</v>
      </c>
      <c r="G132">
        <v>-54</v>
      </c>
      <c r="H132">
        <v>45</v>
      </c>
    </row>
    <row r="133" spans="1:8" x14ac:dyDescent="0.25">
      <c r="A133">
        <v>12</v>
      </c>
      <c r="B133">
        <v>-298</v>
      </c>
      <c r="C133">
        <v>-65</v>
      </c>
      <c r="D133">
        <v>22</v>
      </c>
      <c r="E133">
        <v>-59</v>
      </c>
      <c r="F133">
        <v>216</v>
      </c>
      <c r="G133">
        <v>92</v>
      </c>
      <c r="H133">
        <v>-39</v>
      </c>
    </row>
    <row r="134" spans="1:8" x14ac:dyDescent="0.25">
      <c r="A134">
        <v>-24</v>
      </c>
      <c r="B134">
        <v>231</v>
      </c>
      <c r="C134">
        <v>-28</v>
      </c>
      <c r="D134">
        <v>-161</v>
      </c>
      <c r="E134">
        <v>-59</v>
      </c>
      <c r="F134">
        <v>127</v>
      </c>
      <c r="G134">
        <v>-128</v>
      </c>
      <c r="H134">
        <v>-10</v>
      </c>
    </row>
    <row r="135" spans="1:8" x14ac:dyDescent="0.25">
      <c r="A135">
        <v>-5</v>
      </c>
      <c r="B135">
        <v>356</v>
      </c>
      <c r="C135">
        <v>-41</v>
      </c>
      <c r="D135">
        <v>-129</v>
      </c>
      <c r="E135">
        <v>-54</v>
      </c>
      <c r="F135">
        <v>-56</v>
      </c>
      <c r="G135">
        <v>-110</v>
      </c>
      <c r="H135">
        <v>-40</v>
      </c>
    </row>
    <row r="136" spans="1:8" x14ac:dyDescent="0.25">
      <c r="A136">
        <v>-53</v>
      </c>
      <c r="B136">
        <v>-285</v>
      </c>
      <c r="C136">
        <v>36</v>
      </c>
      <c r="D136">
        <v>20</v>
      </c>
      <c r="E136">
        <v>-66</v>
      </c>
      <c r="F136">
        <v>136</v>
      </c>
      <c r="G136">
        <v>162</v>
      </c>
      <c r="H136">
        <v>-7</v>
      </c>
    </row>
    <row r="137" spans="1:8" x14ac:dyDescent="0.25">
      <c r="A137">
        <v>-46</v>
      </c>
      <c r="B137">
        <v>-232</v>
      </c>
      <c r="C137">
        <v>-59</v>
      </c>
      <c r="D137">
        <v>15</v>
      </c>
      <c r="E137">
        <v>-63</v>
      </c>
      <c r="F137">
        <v>243</v>
      </c>
      <c r="G137">
        <v>64</v>
      </c>
      <c r="H137">
        <v>8</v>
      </c>
    </row>
    <row r="138" spans="1:8" x14ac:dyDescent="0.25">
      <c r="A138">
        <v>6</v>
      </c>
      <c r="B138">
        <v>-211</v>
      </c>
      <c r="C138">
        <v>37</v>
      </c>
      <c r="D138">
        <v>-14</v>
      </c>
      <c r="E138">
        <v>-53</v>
      </c>
      <c r="F138">
        <v>290</v>
      </c>
      <c r="G138">
        <v>120</v>
      </c>
      <c r="H138">
        <v>57</v>
      </c>
    </row>
    <row r="139" spans="1:8" x14ac:dyDescent="0.25">
      <c r="A139">
        <v>-50</v>
      </c>
      <c r="B139">
        <v>-255</v>
      </c>
      <c r="C139">
        <v>-58</v>
      </c>
      <c r="D139">
        <v>-45</v>
      </c>
      <c r="E139">
        <v>-56</v>
      </c>
      <c r="F139">
        <v>177</v>
      </c>
      <c r="G139">
        <v>182</v>
      </c>
      <c r="H139">
        <v>-18</v>
      </c>
    </row>
    <row r="140" spans="1:8" x14ac:dyDescent="0.25">
      <c r="A140">
        <v>-27</v>
      </c>
    </row>
    <row r="141" spans="1:8" x14ac:dyDescent="0.25">
      <c r="A141">
        <v>92</v>
      </c>
    </row>
    <row r="142" spans="1:8" x14ac:dyDescent="0.25">
      <c r="A142">
        <v>-67</v>
      </c>
    </row>
    <row r="143" spans="1:8" x14ac:dyDescent="0.25">
      <c r="A143">
        <v>-130</v>
      </c>
    </row>
    <row r="144" spans="1:8" x14ac:dyDescent="0.25">
      <c r="A144">
        <v>-166</v>
      </c>
    </row>
    <row r="145" spans="1:8" x14ac:dyDescent="0.25">
      <c r="A145">
        <v>367</v>
      </c>
    </row>
    <row r="146" spans="1:8" x14ac:dyDescent="0.25">
      <c r="A146">
        <v>9</v>
      </c>
    </row>
    <row r="147" spans="1:8" x14ac:dyDescent="0.25">
      <c r="A147">
        <v>-31</v>
      </c>
    </row>
    <row r="148" spans="1:8" x14ac:dyDescent="0.25">
      <c r="A148">
        <v>-81</v>
      </c>
    </row>
    <row r="149" spans="1:8" x14ac:dyDescent="0.25">
      <c r="A149">
        <v>400</v>
      </c>
    </row>
    <row r="150" spans="1:8" x14ac:dyDescent="0.25">
      <c r="A150">
        <v>22</v>
      </c>
    </row>
    <row r="151" spans="1:8" x14ac:dyDescent="0.25">
      <c r="A151">
        <v>-802</v>
      </c>
    </row>
    <row r="152" spans="1:8" x14ac:dyDescent="0.25">
      <c r="A152">
        <v>-19</v>
      </c>
    </row>
    <row r="153" spans="1:8" x14ac:dyDescent="0.25">
      <c r="A153">
        <v>-399</v>
      </c>
    </row>
    <row r="154" spans="1:8" x14ac:dyDescent="0.25">
      <c r="A154">
        <v>-197</v>
      </c>
    </row>
    <row r="155" spans="1:8" x14ac:dyDescent="0.25">
      <c r="A155">
        <v>-63</v>
      </c>
    </row>
    <row r="156" spans="1:8" x14ac:dyDescent="0.25">
      <c r="A156">
        <v>73</v>
      </c>
    </row>
    <row r="158" spans="1:8" x14ac:dyDescent="0.25">
      <c r="A158">
        <v>-15</v>
      </c>
      <c r="B158">
        <v>55</v>
      </c>
      <c r="C158">
        <v>28</v>
      </c>
      <c r="D158">
        <v>12</v>
      </c>
      <c r="E158">
        <v>-42</v>
      </c>
      <c r="F158">
        <v>-42</v>
      </c>
      <c r="G158">
        <v>-54</v>
      </c>
      <c r="H158">
        <v>45</v>
      </c>
    </row>
    <row r="159" spans="1:8" x14ac:dyDescent="0.25">
      <c r="A159">
        <v>12</v>
      </c>
      <c r="B159">
        <v>492</v>
      </c>
      <c r="C159">
        <v>-74</v>
      </c>
      <c r="D159">
        <v>56</v>
      </c>
      <c r="E159">
        <v>-208</v>
      </c>
      <c r="F159">
        <v>-17</v>
      </c>
      <c r="G159">
        <v>137</v>
      </c>
      <c r="H159">
        <v>-39</v>
      </c>
    </row>
    <row r="160" spans="1:8" x14ac:dyDescent="0.25">
      <c r="A160">
        <v>-24</v>
      </c>
      <c r="B160">
        <v>537</v>
      </c>
      <c r="C160">
        <v>-60</v>
      </c>
      <c r="D160">
        <v>14</v>
      </c>
      <c r="E160">
        <v>-165</v>
      </c>
      <c r="F160">
        <v>-150</v>
      </c>
      <c r="G160">
        <v>158</v>
      </c>
      <c r="H160">
        <v>-3</v>
      </c>
    </row>
    <row r="161" spans="1:8" x14ac:dyDescent="0.25">
      <c r="A161">
        <v>-5</v>
      </c>
      <c r="B161">
        <v>567</v>
      </c>
      <c r="C161">
        <v>-47</v>
      </c>
      <c r="D161">
        <v>131</v>
      </c>
      <c r="E161">
        <v>-153</v>
      </c>
      <c r="F161">
        <v>-408</v>
      </c>
      <c r="G161">
        <v>167</v>
      </c>
      <c r="H161">
        <v>-40</v>
      </c>
    </row>
    <row r="162" spans="1:8" x14ac:dyDescent="0.25">
      <c r="A162">
        <v>-53</v>
      </c>
      <c r="B162">
        <v>-664</v>
      </c>
      <c r="C162">
        <v>2</v>
      </c>
      <c r="D162">
        <v>-336</v>
      </c>
      <c r="E162">
        <v>-124</v>
      </c>
      <c r="F162">
        <v>241</v>
      </c>
      <c r="G162">
        <v>490</v>
      </c>
      <c r="H162">
        <v>-7</v>
      </c>
    </row>
    <row r="163" spans="1:8" x14ac:dyDescent="0.25">
      <c r="A163">
        <v>-46</v>
      </c>
      <c r="B163">
        <v>657</v>
      </c>
      <c r="C163">
        <v>-62</v>
      </c>
      <c r="D163">
        <v>181</v>
      </c>
      <c r="E163">
        <v>-104</v>
      </c>
      <c r="F163">
        <v>1</v>
      </c>
      <c r="G163">
        <v>51</v>
      </c>
      <c r="H163">
        <v>16</v>
      </c>
    </row>
    <row r="164" spans="1:8" x14ac:dyDescent="0.25">
      <c r="A164">
        <v>6</v>
      </c>
      <c r="B164">
        <v>-421</v>
      </c>
      <c r="C164">
        <v>4</v>
      </c>
      <c r="D164">
        <v>-307</v>
      </c>
      <c r="E164">
        <v>-213</v>
      </c>
      <c r="F164">
        <v>666</v>
      </c>
      <c r="G164">
        <v>389</v>
      </c>
      <c r="H164">
        <v>65</v>
      </c>
    </row>
    <row r="165" spans="1:8" x14ac:dyDescent="0.25">
      <c r="A165">
        <v>-50</v>
      </c>
      <c r="B165">
        <v>-427</v>
      </c>
      <c r="C165">
        <v>-63</v>
      </c>
      <c r="D165">
        <v>-346</v>
      </c>
      <c r="E165">
        <v>-114</v>
      </c>
      <c r="F165">
        <v>340</v>
      </c>
      <c r="G165">
        <v>466</v>
      </c>
      <c r="H165">
        <v>-18</v>
      </c>
    </row>
    <row r="166" spans="1:8" x14ac:dyDescent="0.25">
      <c r="A166">
        <v>-27</v>
      </c>
    </row>
    <row r="167" spans="1:8" x14ac:dyDescent="0.25">
      <c r="A167">
        <v>21</v>
      </c>
    </row>
    <row r="168" spans="1:8" x14ac:dyDescent="0.25">
      <c r="A168">
        <v>-106</v>
      </c>
    </row>
    <row r="169" spans="1:8" x14ac:dyDescent="0.25">
      <c r="A169">
        <v>-182</v>
      </c>
    </row>
    <row r="170" spans="1:8" x14ac:dyDescent="0.25">
      <c r="A170">
        <v>-333</v>
      </c>
    </row>
    <row r="171" spans="1:8" x14ac:dyDescent="0.25">
      <c r="A171">
        <v>420</v>
      </c>
    </row>
    <row r="172" spans="1:8" x14ac:dyDescent="0.25">
      <c r="A172">
        <v>691</v>
      </c>
    </row>
    <row r="173" spans="1:8" x14ac:dyDescent="0.25">
      <c r="A173">
        <v>-23</v>
      </c>
    </row>
    <row r="174" spans="1:8" x14ac:dyDescent="0.25">
      <c r="A174">
        <v>-81</v>
      </c>
    </row>
    <row r="175" spans="1:8" x14ac:dyDescent="0.25">
      <c r="A175">
        <v>714</v>
      </c>
    </row>
    <row r="176" spans="1:8" x14ac:dyDescent="0.25">
      <c r="A176">
        <v>4</v>
      </c>
    </row>
    <row r="177" spans="1:8" x14ac:dyDescent="0.25">
      <c r="A177">
        <v>9</v>
      </c>
    </row>
    <row r="178" spans="1:8" x14ac:dyDescent="0.25">
      <c r="A178">
        <v>-103</v>
      </c>
    </row>
    <row r="179" spans="1:8" x14ac:dyDescent="0.25">
      <c r="A179">
        <v>-590</v>
      </c>
    </row>
    <row r="180" spans="1:8" x14ac:dyDescent="0.25">
      <c r="A180">
        <v>-1221</v>
      </c>
    </row>
    <row r="181" spans="1:8" x14ac:dyDescent="0.25">
      <c r="A181">
        <v>-63</v>
      </c>
    </row>
    <row r="182" spans="1:8" x14ac:dyDescent="0.25">
      <c r="A182">
        <v>-409</v>
      </c>
    </row>
    <row r="184" spans="1:8" x14ac:dyDescent="0.25">
      <c r="A184">
        <v>-15</v>
      </c>
      <c r="B184">
        <v>55</v>
      </c>
      <c r="C184">
        <v>28</v>
      </c>
      <c r="D184">
        <v>12</v>
      </c>
      <c r="E184">
        <v>-42</v>
      </c>
      <c r="F184">
        <v>-42</v>
      </c>
      <c r="G184">
        <v>-54</v>
      </c>
      <c r="H184">
        <v>45</v>
      </c>
    </row>
    <row r="185" spans="1:8" x14ac:dyDescent="0.25">
      <c r="A185">
        <v>12</v>
      </c>
      <c r="B185">
        <v>128</v>
      </c>
      <c r="C185">
        <v>-79</v>
      </c>
      <c r="D185">
        <v>-158</v>
      </c>
      <c r="E185">
        <v>-291</v>
      </c>
      <c r="F185">
        <v>79</v>
      </c>
      <c r="G185">
        <v>-181</v>
      </c>
      <c r="H185">
        <v>-39</v>
      </c>
    </row>
    <row r="186" spans="1:8" x14ac:dyDescent="0.25">
      <c r="A186">
        <v>-24</v>
      </c>
      <c r="B186">
        <v>-704</v>
      </c>
      <c r="C186">
        <v>-70</v>
      </c>
      <c r="D186">
        <v>-753</v>
      </c>
      <c r="E186">
        <v>-228</v>
      </c>
      <c r="F186">
        <v>485</v>
      </c>
      <c r="G186">
        <v>253</v>
      </c>
      <c r="H186">
        <v>0</v>
      </c>
    </row>
    <row r="187" spans="1:8" x14ac:dyDescent="0.25">
      <c r="A187">
        <v>-5</v>
      </c>
      <c r="B187">
        <v>282</v>
      </c>
      <c r="C187">
        <v>-47</v>
      </c>
      <c r="D187">
        <v>134</v>
      </c>
      <c r="E187">
        <v>-205</v>
      </c>
      <c r="F187">
        <v>-315</v>
      </c>
      <c r="G187">
        <v>-160</v>
      </c>
      <c r="H187">
        <v>-40</v>
      </c>
    </row>
    <row r="188" spans="1:8" x14ac:dyDescent="0.25">
      <c r="A188">
        <v>-53</v>
      </c>
      <c r="B188">
        <v>225</v>
      </c>
      <c r="C188">
        <v>-9</v>
      </c>
      <c r="D188">
        <v>140</v>
      </c>
      <c r="E188">
        <v>-173</v>
      </c>
      <c r="F188">
        <v>-283</v>
      </c>
      <c r="G188">
        <v>-119</v>
      </c>
      <c r="H188">
        <v>-7</v>
      </c>
    </row>
    <row r="189" spans="1:8" x14ac:dyDescent="0.25">
      <c r="A189">
        <v>-46</v>
      </c>
      <c r="B189">
        <v>359</v>
      </c>
      <c r="C189">
        <v>-65</v>
      </c>
      <c r="D189">
        <v>245</v>
      </c>
      <c r="E189">
        <v>-149</v>
      </c>
      <c r="F189">
        <v>52</v>
      </c>
      <c r="G189">
        <v>-260</v>
      </c>
      <c r="H189">
        <v>17</v>
      </c>
    </row>
    <row r="190" spans="1:8" x14ac:dyDescent="0.25">
      <c r="A190">
        <v>6</v>
      </c>
      <c r="B190">
        <v>442</v>
      </c>
      <c r="C190">
        <v>-7</v>
      </c>
      <c r="D190">
        <v>256</v>
      </c>
      <c r="E190">
        <v>-304</v>
      </c>
      <c r="F190">
        <v>159</v>
      </c>
      <c r="G190">
        <v>-172</v>
      </c>
      <c r="H190">
        <v>68</v>
      </c>
    </row>
    <row r="191" spans="1:8" x14ac:dyDescent="0.25">
      <c r="A191">
        <v>-50</v>
      </c>
      <c r="B191">
        <v>448</v>
      </c>
      <c r="C191">
        <v>-63</v>
      </c>
      <c r="D191">
        <v>197</v>
      </c>
      <c r="E191">
        <v>-158</v>
      </c>
      <c r="F191">
        <v>-206</v>
      </c>
      <c r="G191">
        <v>-103</v>
      </c>
      <c r="H191">
        <v>-17</v>
      </c>
    </row>
    <row r="192" spans="1:8" x14ac:dyDescent="0.25">
      <c r="A192">
        <v>-27</v>
      </c>
    </row>
    <row r="193" spans="1:1" x14ac:dyDescent="0.25">
      <c r="A193">
        <v>-211</v>
      </c>
    </row>
    <row r="194" spans="1:1" x14ac:dyDescent="0.25">
      <c r="A194">
        <v>-117</v>
      </c>
    </row>
    <row r="195" spans="1:1" x14ac:dyDescent="0.25">
      <c r="A195">
        <v>-497</v>
      </c>
    </row>
    <row r="196" spans="1:1" x14ac:dyDescent="0.25">
      <c r="A196">
        <v>-434</v>
      </c>
    </row>
    <row r="197" spans="1:1" x14ac:dyDescent="0.25">
      <c r="A197">
        <v>494</v>
      </c>
    </row>
    <row r="198" spans="1:1" x14ac:dyDescent="0.25">
      <c r="A198">
        <v>68</v>
      </c>
    </row>
    <row r="199" spans="1:1" x14ac:dyDescent="0.25">
      <c r="A199">
        <v>-20</v>
      </c>
    </row>
    <row r="200" spans="1:1" x14ac:dyDescent="0.25">
      <c r="A200">
        <v>-81</v>
      </c>
    </row>
    <row r="201" spans="1:1" x14ac:dyDescent="0.25">
      <c r="A201">
        <v>-14</v>
      </c>
    </row>
    <row r="202" spans="1:1" x14ac:dyDescent="0.25">
      <c r="A202">
        <v>-1</v>
      </c>
    </row>
    <row r="203" spans="1:1" x14ac:dyDescent="0.25">
      <c r="A203">
        <v>779</v>
      </c>
    </row>
    <row r="204" spans="1:1" x14ac:dyDescent="0.25">
      <c r="A204">
        <v>-172</v>
      </c>
    </row>
    <row r="205" spans="1:1" x14ac:dyDescent="0.25">
      <c r="A205">
        <v>-344</v>
      </c>
    </row>
    <row r="206" spans="1:1" x14ac:dyDescent="0.25">
      <c r="A206">
        <v>261</v>
      </c>
    </row>
    <row r="207" spans="1:1" x14ac:dyDescent="0.25">
      <c r="A207">
        <v>-63</v>
      </c>
    </row>
    <row r="208" spans="1:1" x14ac:dyDescent="0.25">
      <c r="A208">
        <v>-1045</v>
      </c>
    </row>
    <row r="210" spans="1:8" x14ac:dyDescent="0.25">
      <c r="A210">
        <v>-15</v>
      </c>
      <c r="B210">
        <v>55</v>
      </c>
      <c r="C210">
        <v>28</v>
      </c>
      <c r="D210">
        <v>12</v>
      </c>
      <c r="E210">
        <v>-42</v>
      </c>
      <c r="F210">
        <v>-42</v>
      </c>
      <c r="G210">
        <v>-54</v>
      </c>
      <c r="H210">
        <v>45</v>
      </c>
    </row>
    <row r="211" spans="1:8" x14ac:dyDescent="0.25">
      <c r="A211">
        <v>12</v>
      </c>
      <c r="B211">
        <v>553</v>
      </c>
      <c r="C211">
        <v>-73</v>
      </c>
      <c r="D211">
        <v>99</v>
      </c>
      <c r="E211">
        <v>-191</v>
      </c>
      <c r="F211">
        <v>274</v>
      </c>
      <c r="G211">
        <v>-90</v>
      </c>
      <c r="H211">
        <v>-39</v>
      </c>
    </row>
    <row r="212" spans="1:8" x14ac:dyDescent="0.25">
      <c r="A212">
        <v>-24</v>
      </c>
      <c r="B212">
        <v>522</v>
      </c>
      <c r="C212">
        <v>-54</v>
      </c>
      <c r="D212">
        <v>-119</v>
      </c>
      <c r="E212">
        <v>-154</v>
      </c>
      <c r="F212">
        <v>315</v>
      </c>
      <c r="G212">
        <v>-24</v>
      </c>
      <c r="H212">
        <v>-4</v>
      </c>
    </row>
    <row r="213" spans="1:8" x14ac:dyDescent="0.25">
      <c r="A213">
        <v>-5</v>
      </c>
      <c r="B213">
        <v>586</v>
      </c>
      <c r="C213">
        <v>-46</v>
      </c>
      <c r="D213">
        <v>57</v>
      </c>
      <c r="E213">
        <v>-139</v>
      </c>
      <c r="F213">
        <v>112</v>
      </c>
      <c r="G213">
        <v>7</v>
      </c>
      <c r="H213">
        <v>-40</v>
      </c>
    </row>
    <row r="214" spans="1:8" x14ac:dyDescent="0.25">
      <c r="A214">
        <v>-53</v>
      </c>
      <c r="B214">
        <v>-663</v>
      </c>
      <c r="C214">
        <v>8</v>
      </c>
      <c r="D214">
        <v>-55</v>
      </c>
      <c r="E214">
        <v>-124</v>
      </c>
      <c r="F214">
        <v>350</v>
      </c>
      <c r="G214">
        <v>376</v>
      </c>
      <c r="H214">
        <v>-7</v>
      </c>
    </row>
    <row r="215" spans="1:8" x14ac:dyDescent="0.25">
      <c r="A215">
        <v>-46</v>
      </c>
      <c r="B215">
        <v>-511</v>
      </c>
      <c r="C215">
        <v>-63</v>
      </c>
      <c r="D215">
        <v>-102</v>
      </c>
      <c r="E215">
        <v>-110</v>
      </c>
      <c r="F215">
        <v>539</v>
      </c>
      <c r="G215">
        <v>184</v>
      </c>
      <c r="H215">
        <v>14</v>
      </c>
    </row>
    <row r="216" spans="1:8" x14ac:dyDescent="0.25">
      <c r="A216">
        <v>6</v>
      </c>
      <c r="B216">
        <v>-432</v>
      </c>
      <c r="C216">
        <v>10</v>
      </c>
      <c r="D216">
        <v>-153</v>
      </c>
      <c r="E216">
        <v>-196</v>
      </c>
      <c r="F216">
        <v>597</v>
      </c>
      <c r="G216">
        <v>262</v>
      </c>
      <c r="H216">
        <v>64</v>
      </c>
    </row>
    <row r="217" spans="1:8" x14ac:dyDescent="0.25">
      <c r="A217">
        <v>-50</v>
      </c>
      <c r="B217">
        <v>760</v>
      </c>
      <c r="C217">
        <v>-61</v>
      </c>
      <c r="D217">
        <v>-45</v>
      </c>
      <c r="E217">
        <v>-111</v>
      </c>
      <c r="F217">
        <v>118</v>
      </c>
      <c r="G217">
        <v>41</v>
      </c>
      <c r="H217">
        <v>-18</v>
      </c>
    </row>
    <row r="218" spans="1:8" x14ac:dyDescent="0.25">
      <c r="A218">
        <v>-27</v>
      </c>
    </row>
    <row r="219" spans="1:8" x14ac:dyDescent="0.25">
      <c r="A219">
        <v>50</v>
      </c>
    </row>
    <row r="220" spans="1:8" x14ac:dyDescent="0.25">
      <c r="A220">
        <v>-98</v>
      </c>
    </row>
    <row r="221" spans="1:8" x14ac:dyDescent="0.25">
      <c r="A221">
        <v>-8</v>
      </c>
    </row>
    <row r="222" spans="1:8" x14ac:dyDescent="0.25">
      <c r="A222">
        <v>-317</v>
      </c>
    </row>
    <row r="223" spans="1:8" x14ac:dyDescent="0.25">
      <c r="A223">
        <v>903</v>
      </c>
    </row>
    <row r="224" spans="1:8" x14ac:dyDescent="0.25">
      <c r="A224">
        <v>298</v>
      </c>
    </row>
    <row r="225" spans="1:8" x14ac:dyDescent="0.25">
      <c r="A225">
        <v>-25</v>
      </c>
    </row>
    <row r="226" spans="1:8" x14ac:dyDescent="0.25">
      <c r="A226">
        <v>-81</v>
      </c>
    </row>
    <row r="227" spans="1:8" x14ac:dyDescent="0.25">
      <c r="A227">
        <v>650</v>
      </c>
    </row>
    <row r="228" spans="1:8" x14ac:dyDescent="0.25">
      <c r="A228">
        <v>6</v>
      </c>
    </row>
    <row r="229" spans="1:8" x14ac:dyDescent="0.25">
      <c r="A229">
        <v>-1011</v>
      </c>
    </row>
    <row r="230" spans="1:8" x14ac:dyDescent="0.25">
      <c r="A230">
        <v>-103</v>
      </c>
    </row>
    <row r="231" spans="1:8" x14ac:dyDescent="0.25">
      <c r="A231">
        <v>-803</v>
      </c>
    </row>
    <row r="232" spans="1:8" x14ac:dyDescent="0.25">
      <c r="A232">
        <v>-478</v>
      </c>
    </row>
    <row r="233" spans="1:8" x14ac:dyDescent="0.25">
      <c r="A233">
        <v>-63</v>
      </c>
    </row>
    <row r="234" spans="1:8" x14ac:dyDescent="0.25">
      <c r="A234">
        <v>10</v>
      </c>
    </row>
    <row r="236" spans="1:8" x14ac:dyDescent="0.25">
      <c r="A236">
        <v>-15</v>
      </c>
      <c r="B236">
        <v>55</v>
      </c>
      <c r="C236">
        <v>28</v>
      </c>
      <c r="D236">
        <v>12</v>
      </c>
      <c r="E236">
        <v>-42</v>
      </c>
      <c r="F236">
        <v>-42</v>
      </c>
      <c r="G236">
        <v>-54</v>
      </c>
      <c r="H236">
        <v>45</v>
      </c>
    </row>
    <row r="237" spans="1:8" x14ac:dyDescent="0.25">
      <c r="A237">
        <v>12</v>
      </c>
      <c r="B237">
        <v>505</v>
      </c>
      <c r="C237">
        <v>-79</v>
      </c>
      <c r="D237">
        <v>71</v>
      </c>
      <c r="E237">
        <v>-289</v>
      </c>
      <c r="F237">
        <v>127</v>
      </c>
      <c r="G237">
        <v>-18</v>
      </c>
      <c r="H237">
        <v>-39</v>
      </c>
    </row>
    <row r="238" spans="1:8" x14ac:dyDescent="0.25">
      <c r="A238">
        <v>-24</v>
      </c>
      <c r="B238">
        <v>535</v>
      </c>
      <c r="C238">
        <v>-68</v>
      </c>
      <c r="D238">
        <v>48</v>
      </c>
      <c r="E238">
        <v>-226</v>
      </c>
      <c r="F238">
        <v>107</v>
      </c>
      <c r="G238">
        <v>25</v>
      </c>
      <c r="H238">
        <v>-3</v>
      </c>
    </row>
    <row r="239" spans="1:8" x14ac:dyDescent="0.25">
      <c r="A239">
        <v>-5</v>
      </c>
      <c r="B239">
        <v>548</v>
      </c>
      <c r="C239">
        <v>-46</v>
      </c>
      <c r="D239">
        <v>147</v>
      </c>
      <c r="E239">
        <v>-203</v>
      </c>
      <c r="F239">
        <v>-6</v>
      </c>
      <c r="G239">
        <v>62</v>
      </c>
      <c r="H239">
        <v>-40</v>
      </c>
    </row>
    <row r="240" spans="1:8" x14ac:dyDescent="0.25">
      <c r="A240">
        <v>-53</v>
      </c>
      <c r="B240">
        <v>-983</v>
      </c>
      <c r="C240">
        <v>-6</v>
      </c>
      <c r="D240">
        <v>-405</v>
      </c>
      <c r="E240">
        <v>-170</v>
      </c>
      <c r="F240">
        <v>831</v>
      </c>
      <c r="G240">
        <v>730</v>
      </c>
      <c r="H240">
        <v>-7</v>
      </c>
    </row>
    <row r="241" spans="1:8" x14ac:dyDescent="0.25">
      <c r="A241">
        <v>-46</v>
      </c>
      <c r="B241">
        <v>773</v>
      </c>
      <c r="C241">
        <v>-65</v>
      </c>
      <c r="D241">
        <v>196</v>
      </c>
      <c r="E241">
        <v>-147</v>
      </c>
      <c r="F241">
        <v>-6</v>
      </c>
      <c r="G241">
        <v>-201</v>
      </c>
      <c r="H241">
        <v>17</v>
      </c>
    </row>
    <row r="242" spans="1:8" x14ac:dyDescent="0.25">
      <c r="A242">
        <v>6</v>
      </c>
      <c r="B242">
        <v>-515</v>
      </c>
      <c r="C242">
        <v>-4</v>
      </c>
      <c r="D242">
        <v>-365</v>
      </c>
      <c r="E242">
        <v>-302</v>
      </c>
      <c r="F242">
        <v>760</v>
      </c>
      <c r="G242">
        <v>424</v>
      </c>
      <c r="H242">
        <v>65</v>
      </c>
    </row>
    <row r="243" spans="1:8" x14ac:dyDescent="0.25">
      <c r="A243">
        <v>-50</v>
      </c>
      <c r="B243">
        <v>824</v>
      </c>
      <c r="C243">
        <v>-63</v>
      </c>
      <c r="D243">
        <v>167</v>
      </c>
      <c r="E243">
        <v>-156</v>
      </c>
      <c r="F243">
        <v>-112</v>
      </c>
      <c r="G243">
        <v>43</v>
      </c>
      <c r="H243">
        <v>-18</v>
      </c>
    </row>
    <row r="244" spans="1:8" x14ac:dyDescent="0.25">
      <c r="A244">
        <v>-27</v>
      </c>
    </row>
    <row r="245" spans="1:8" x14ac:dyDescent="0.25">
      <c r="A245">
        <v>-182</v>
      </c>
    </row>
    <row r="246" spans="1:8" x14ac:dyDescent="0.25">
      <c r="A246">
        <v>-114</v>
      </c>
    </row>
    <row r="247" spans="1:8" x14ac:dyDescent="0.25">
      <c r="A247">
        <v>-241</v>
      </c>
    </row>
    <row r="248" spans="1:8" x14ac:dyDescent="0.25">
      <c r="A248">
        <v>-431</v>
      </c>
    </row>
    <row r="249" spans="1:8" x14ac:dyDescent="0.25">
      <c r="A249">
        <v>1162</v>
      </c>
    </row>
    <row r="250" spans="1:8" x14ac:dyDescent="0.25">
      <c r="A250">
        <v>596</v>
      </c>
    </row>
    <row r="251" spans="1:8" x14ac:dyDescent="0.25">
      <c r="A251">
        <v>-23</v>
      </c>
    </row>
    <row r="252" spans="1:8" x14ac:dyDescent="0.25">
      <c r="A252">
        <v>-81</v>
      </c>
    </row>
    <row r="253" spans="1:8" x14ac:dyDescent="0.25">
      <c r="A253">
        <v>616</v>
      </c>
    </row>
    <row r="254" spans="1:8" x14ac:dyDescent="0.25">
      <c r="A254">
        <v>0</v>
      </c>
    </row>
    <row r="255" spans="1:8" x14ac:dyDescent="0.25">
      <c r="A255">
        <v>313</v>
      </c>
    </row>
    <row r="256" spans="1:8" x14ac:dyDescent="0.25">
      <c r="A256">
        <v>-169</v>
      </c>
    </row>
    <row r="257" spans="1:8" x14ac:dyDescent="0.25">
      <c r="A257">
        <v>-1185</v>
      </c>
    </row>
    <row r="258" spans="1:8" x14ac:dyDescent="0.25">
      <c r="A258">
        <v>-639</v>
      </c>
    </row>
    <row r="259" spans="1:8" x14ac:dyDescent="0.25">
      <c r="A259">
        <v>-63</v>
      </c>
    </row>
    <row r="260" spans="1:8" x14ac:dyDescent="0.25">
      <c r="A260">
        <v>-155</v>
      </c>
    </row>
    <row r="262" spans="1:8" x14ac:dyDescent="0.25">
      <c r="A262">
        <v>-15</v>
      </c>
      <c r="B262">
        <v>55</v>
      </c>
      <c r="C262">
        <v>28</v>
      </c>
      <c r="D262">
        <v>12</v>
      </c>
      <c r="E262">
        <v>-42</v>
      </c>
      <c r="F262">
        <v>-42</v>
      </c>
      <c r="G262">
        <v>-54</v>
      </c>
      <c r="H262">
        <v>45</v>
      </c>
    </row>
    <row r="263" spans="1:8" x14ac:dyDescent="0.25">
      <c r="A263">
        <v>12</v>
      </c>
      <c r="B263">
        <v>-256</v>
      </c>
      <c r="C263">
        <v>-64</v>
      </c>
      <c r="D263">
        <v>161</v>
      </c>
      <c r="E263">
        <v>-36</v>
      </c>
      <c r="F263">
        <v>260</v>
      </c>
      <c r="G263">
        <v>-7</v>
      </c>
      <c r="H263">
        <v>-39</v>
      </c>
    </row>
    <row r="264" spans="1:8" x14ac:dyDescent="0.25">
      <c r="A264">
        <v>-24</v>
      </c>
      <c r="B264">
        <v>258</v>
      </c>
      <c r="C264">
        <v>-34</v>
      </c>
      <c r="D264">
        <v>91</v>
      </c>
      <c r="E264">
        <v>-40</v>
      </c>
      <c r="F264">
        <v>150</v>
      </c>
      <c r="G264">
        <v>-42</v>
      </c>
      <c r="H264">
        <v>-10</v>
      </c>
    </row>
    <row r="265" spans="1:8" x14ac:dyDescent="0.25">
      <c r="A265">
        <v>-5</v>
      </c>
      <c r="B265">
        <v>381</v>
      </c>
      <c r="C265">
        <v>-42</v>
      </c>
      <c r="D265">
        <v>3</v>
      </c>
      <c r="E265">
        <v>-39</v>
      </c>
      <c r="F265">
        <v>-41</v>
      </c>
      <c r="G265">
        <v>21</v>
      </c>
      <c r="H265">
        <v>-40</v>
      </c>
    </row>
    <row r="266" spans="1:8" x14ac:dyDescent="0.25">
      <c r="A266">
        <v>-53</v>
      </c>
      <c r="B266">
        <v>-211</v>
      </c>
      <c r="C266">
        <v>31</v>
      </c>
      <c r="D266">
        <v>139</v>
      </c>
      <c r="E266">
        <v>-49</v>
      </c>
      <c r="F266">
        <v>117</v>
      </c>
      <c r="G266">
        <v>47</v>
      </c>
      <c r="H266">
        <v>-7</v>
      </c>
    </row>
    <row r="267" spans="1:8" x14ac:dyDescent="0.25">
      <c r="A267">
        <v>-46</v>
      </c>
      <c r="B267">
        <v>-200</v>
      </c>
      <c r="C267">
        <v>-58</v>
      </c>
      <c r="D267">
        <v>116</v>
      </c>
      <c r="E267">
        <v>-46</v>
      </c>
      <c r="F267">
        <v>286</v>
      </c>
      <c r="G267">
        <v>-2</v>
      </c>
      <c r="H267">
        <v>9</v>
      </c>
    </row>
    <row r="268" spans="1:8" x14ac:dyDescent="0.25">
      <c r="A268">
        <v>6</v>
      </c>
      <c r="B268">
        <v>-203</v>
      </c>
      <c r="C268">
        <v>33</v>
      </c>
      <c r="D268">
        <v>84</v>
      </c>
      <c r="E268">
        <v>-27</v>
      </c>
      <c r="F268">
        <v>366</v>
      </c>
      <c r="G268">
        <v>39</v>
      </c>
      <c r="H268">
        <v>58</v>
      </c>
    </row>
    <row r="269" spans="1:8" x14ac:dyDescent="0.25">
      <c r="A269">
        <v>-50</v>
      </c>
      <c r="B269">
        <v>363</v>
      </c>
      <c r="C269">
        <v>-60</v>
      </c>
      <c r="D269">
        <v>-30</v>
      </c>
      <c r="E269">
        <v>-46</v>
      </c>
      <c r="F269">
        <v>34</v>
      </c>
      <c r="G269">
        <v>37</v>
      </c>
      <c r="H269">
        <v>-18</v>
      </c>
    </row>
    <row r="270" spans="1:8" x14ac:dyDescent="0.25">
      <c r="A270">
        <v>-27</v>
      </c>
    </row>
    <row r="271" spans="1:8" x14ac:dyDescent="0.25">
      <c r="A271">
        <v>125</v>
      </c>
    </row>
    <row r="272" spans="1:8" x14ac:dyDescent="0.25">
      <c r="A272">
        <v>-74</v>
      </c>
    </row>
    <row r="273" spans="1:8" x14ac:dyDescent="0.25">
      <c r="A273">
        <v>202</v>
      </c>
    </row>
    <row r="274" spans="1:8" x14ac:dyDescent="0.25">
      <c r="A274">
        <v>-136</v>
      </c>
    </row>
    <row r="275" spans="1:8" x14ac:dyDescent="0.25">
      <c r="A275">
        <v>435</v>
      </c>
    </row>
    <row r="276" spans="1:8" x14ac:dyDescent="0.25">
      <c r="A276">
        <v>37</v>
      </c>
    </row>
    <row r="277" spans="1:8" x14ac:dyDescent="0.25">
      <c r="A277">
        <v>-31</v>
      </c>
    </row>
    <row r="278" spans="1:8" x14ac:dyDescent="0.25">
      <c r="A278">
        <v>-81</v>
      </c>
    </row>
    <row r="279" spans="1:8" x14ac:dyDescent="0.25">
      <c r="A279">
        <v>408</v>
      </c>
    </row>
    <row r="280" spans="1:8" x14ac:dyDescent="0.25">
      <c r="A280">
        <v>20</v>
      </c>
    </row>
    <row r="281" spans="1:8" x14ac:dyDescent="0.25">
      <c r="A281">
        <v>-785</v>
      </c>
    </row>
    <row r="282" spans="1:8" x14ac:dyDescent="0.25">
      <c r="A282">
        <v>2</v>
      </c>
    </row>
    <row r="283" spans="1:8" x14ac:dyDescent="0.25">
      <c r="A283">
        <v>-298</v>
      </c>
    </row>
    <row r="284" spans="1:8" x14ac:dyDescent="0.25">
      <c r="A284">
        <v>205</v>
      </c>
    </row>
    <row r="285" spans="1:8" x14ac:dyDescent="0.25">
      <c r="A285">
        <v>-63</v>
      </c>
    </row>
    <row r="286" spans="1:8" x14ac:dyDescent="0.25">
      <c r="A286">
        <v>170</v>
      </c>
    </row>
    <row r="288" spans="1:8" x14ac:dyDescent="0.25">
      <c r="A288">
        <v>-15</v>
      </c>
      <c r="B288">
        <v>55</v>
      </c>
      <c r="C288">
        <v>28</v>
      </c>
      <c r="D288">
        <v>12</v>
      </c>
      <c r="E288">
        <v>-42</v>
      </c>
      <c r="F288">
        <v>-42</v>
      </c>
      <c r="G288">
        <v>-54</v>
      </c>
      <c r="H288">
        <v>45</v>
      </c>
    </row>
    <row r="289" spans="1:8" x14ac:dyDescent="0.25">
      <c r="A289">
        <v>12</v>
      </c>
      <c r="B289">
        <v>492</v>
      </c>
      <c r="C289">
        <v>-74</v>
      </c>
      <c r="D289">
        <v>56</v>
      </c>
      <c r="E289">
        <v>-208</v>
      </c>
      <c r="F289">
        <v>-17</v>
      </c>
      <c r="G289">
        <v>137</v>
      </c>
      <c r="H289">
        <v>-39</v>
      </c>
    </row>
    <row r="290" spans="1:8" x14ac:dyDescent="0.25">
      <c r="A290">
        <v>-24</v>
      </c>
      <c r="B290">
        <v>537</v>
      </c>
      <c r="C290">
        <v>-60</v>
      </c>
      <c r="D290">
        <v>14</v>
      </c>
      <c r="E290">
        <v>-165</v>
      </c>
      <c r="F290">
        <v>-150</v>
      </c>
      <c r="G290">
        <v>158</v>
      </c>
      <c r="H290">
        <v>-3</v>
      </c>
    </row>
    <row r="291" spans="1:8" x14ac:dyDescent="0.25">
      <c r="A291">
        <v>-5</v>
      </c>
      <c r="B291">
        <v>567</v>
      </c>
      <c r="C291">
        <v>-47</v>
      </c>
      <c r="D291">
        <v>131</v>
      </c>
      <c r="E291">
        <v>-153</v>
      </c>
      <c r="F291">
        <v>-408</v>
      </c>
      <c r="G291">
        <v>167</v>
      </c>
      <c r="H291">
        <v>-40</v>
      </c>
    </row>
    <row r="292" spans="1:8" x14ac:dyDescent="0.25">
      <c r="A292">
        <v>-53</v>
      </c>
      <c r="B292">
        <v>-664</v>
      </c>
      <c r="C292">
        <v>2</v>
      </c>
      <c r="D292">
        <v>-336</v>
      </c>
      <c r="E292">
        <v>-124</v>
      </c>
      <c r="F292">
        <v>241</v>
      </c>
      <c r="G292">
        <v>490</v>
      </c>
      <c r="H292">
        <v>-7</v>
      </c>
    </row>
    <row r="293" spans="1:8" x14ac:dyDescent="0.25">
      <c r="A293">
        <v>-46</v>
      </c>
      <c r="B293">
        <v>657</v>
      </c>
      <c r="C293">
        <v>-62</v>
      </c>
      <c r="D293">
        <v>181</v>
      </c>
      <c r="E293">
        <v>-104</v>
      </c>
      <c r="F293">
        <v>1</v>
      </c>
      <c r="G293">
        <v>51</v>
      </c>
      <c r="H293">
        <v>16</v>
      </c>
    </row>
    <row r="294" spans="1:8" x14ac:dyDescent="0.25">
      <c r="A294">
        <v>6</v>
      </c>
      <c r="B294">
        <v>-421</v>
      </c>
      <c r="C294">
        <v>4</v>
      </c>
      <c r="D294">
        <v>-307</v>
      </c>
      <c r="E294">
        <v>-213</v>
      </c>
      <c r="F294">
        <v>666</v>
      </c>
      <c r="G294">
        <v>389</v>
      </c>
      <c r="H294">
        <v>65</v>
      </c>
    </row>
    <row r="295" spans="1:8" x14ac:dyDescent="0.25">
      <c r="A295">
        <v>-50</v>
      </c>
      <c r="B295">
        <v>-427</v>
      </c>
      <c r="C295">
        <v>-63</v>
      </c>
      <c r="D295">
        <v>-346</v>
      </c>
      <c r="E295">
        <v>-114</v>
      </c>
      <c r="F295">
        <v>340</v>
      </c>
      <c r="G295">
        <v>466</v>
      </c>
      <c r="H295">
        <v>-18</v>
      </c>
    </row>
    <row r="296" spans="1:8" x14ac:dyDescent="0.25">
      <c r="A296">
        <v>-27</v>
      </c>
    </row>
    <row r="297" spans="1:8" x14ac:dyDescent="0.25">
      <c r="A297">
        <v>21</v>
      </c>
    </row>
    <row r="298" spans="1:8" x14ac:dyDescent="0.25">
      <c r="A298">
        <v>-106</v>
      </c>
    </row>
    <row r="299" spans="1:8" x14ac:dyDescent="0.25">
      <c r="A299">
        <v>-182</v>
      </c>
    </row>
    <row r="300" spans="1:8" x14ac:dyDescent="0.25">
      <c r="A300">
        <v>-333</v>
      </c>
    </row>
    <row r="301" spans="1:8" x14ac:dyDescent="0.25">
      <c r="A301">
        <v>420</v>
      </c>
    </row>
    <row r="302" spans="1:8" x14ac:dyDescent="0.25">
      <c r="A302">
        <v>691</v>
      </c>
    </row>
    <row r="303" spans="1:8" x14ac:dyDescent="0.25">
      <c r="A303">
        <v>-23</v>
      </c>
    </row>
    <row r="304" spans="1:8" x14ac:dyDescent="0.25">
      <c r="A304">
        <v>-81</v>
      </c>
    </row>
    <row r="305" spans="1:8" x14ac:dyDescent="0.25">
      <c r="A305">
        <v>714</v>
      </c>
    </row>
    <row r="306" spans="1:8" x14ac:dyDescent="0.25">
      <c r="A306">
        <v>4</v>
      </c>
    </row>
    <row r="307" spans="1:8" x14ac:dyDescent="0.25">
      <c r="A307">
        <v>9</v>
      </c>
    </row>
    <row r="308" spans="1:8" x14ac:dyDescent="0.25">
      <c r="A308">
        <v>-103</v>
      </c>
    </row>
    <row r="309" spans="1:8" x14ac:dyDescent="0.25">
      <c r="A309">
        <v>-590</v>
      </c>
    </row>
    <row r="310" spans="1:8" x14ac:dyDescent="0.25">
      <c r="A310">
        <v>-1221</v>
      </c>
    </row>
    <row r="311" spans="1:8" x14ac:dyDescent="0.25">
      <c r="A311">
        <v>-63</v>
      </c>
    </row>
    <row r="312" spans="1:8" x14ac:dyDescent="0.25">
      <c r="A312">
        <v>-409</v>
      </c>
    </row>
    <row r="314" spans="1:8" x14ac:dyDescent="0.25">
      <c r="A314">
        <v>-15</v>
      </c>
      <c r="B314">
        <v>55</v>
      </c>
      <c r="C314">
        <v>28</v>
      </c>
      <c r="D314">
        <v>12</v>
      </c>
      <c r="E314">
        <v>-42</v>
      </c>
      <c r="F314">
        <v>-42</v>
      </c>
      <c r="G314">
        <v>-54</v>
      </c>
      <c r="H314">
        <v>45</v>
      </c>
    </row>
    <row r="315" spans="1:8" x14ac:dyDescent="0.25">
      <c r="A315">
        <v>12</v>
      </c>
      <c r="B315">
        <v>-198</v>
      </c>
      <c r="C315">
        <v>-64</v>
      </c>
      <c r="D315">
        <v>292</v>
      </c>
      <c r="E315">
        <v>-351</v>
      </c>
      <c r="F315">
        <v>199</v>
      </c>
      <c r="G315">
        <v>-9</v>
      </c>
      <c r="H315">
        <v>-39</v>
      </c>
    </row>
    <row r="316" spans="1:8" x14ac:dyDescent="0.25">
      <c r="A316">
        <v>-24</v>
      </c>
      <c r="B316">
        <v>-196</v>
      </c>
      <c r="C316">
        <v>-38</v>
      </c>
      <c r="D316">
        <v>300</v>
      </c>
      <c r="E316">
        <v>216</v>
      </c>
      <c r="F316">
        <v>-119</v>
      </c>
      <c r="G316">
        <v>-22</v>
      </c>
      <c r="H316">
        <v>3</v>
      </c>
    </row>
    <row r="317" spans="1:8" x14ac:dyDescent="0.25">
      <c r="A317">
        <v>-5</v>
      </c>
      <c r="B317">
        <v>-156</v>
      </c>
      <c r="C317">
        <v>-44</v>
      </c>
      <c r="D317">
        <v>97</v>
      </c>
      <c r="E317">
        <v>422</v>
      </c>
      <c r="F317">
        <v>-279</v>
      </c>
      <c r="G317">
        <v>56</v>
      </c>
      <c r="H317">
        <v>-41</v>
      </c>
    </row>
    <row r="318" spans="1:8" x14ac:dyDescent="0.25">
      <c r="A318">
        <v>-53</v>
      </c>
      <c r="B318">
        <v>-158</v>
      </c>
      <c r="C318">
        <v>28</v>
      </c>
      <c r="D318">
        <v>238</v>
      </c>
      <c r="E318">
        <v>-306</v>
      </c>
      <c r="F318">
        <v>67</v>
      </c>
      <c r="G318">
        <v>9</v>
      </c>
      <c r="H318">
        <v>-7</v>
      </c>
    </row>
    <row r="319" spans="1:8" x14ac:dyDescent="0.25">
      <c r="A319">
        <v>-46</v>
      </c>
      <c r="B319">
        <v>-155</v>
      </c>
      <c r="C319">
        <v>-60</v>
      </c>
      <c r="D319">
        <v>164</v>
      </c>
      <c r="E319">
        <v>-241</v>
      </c>
      <c r="F319">
        <v>234</v>
      </c>
      <c r="G319">
        <v>36</v>
      </c>
      <c r="H319">
        <v>8</v>
      </c>
    </row>
    <row r="320" spans="1:8" x14ac:dyDescent="0.25">
      <c r="A320">
        <v>6</v>
      </c>
      <c r="B320">
        <v>-156</v>
      </c>
      <c r="C320">
        <v>29</v>
      </c>
      <c r="D320">
        <v>83</v>
      </c>
      <c r="E320">
        <v>446</v>
      </c>
      <c r="F320">
        <v>13</v>
      </c>
      <c r="G320">
        <v>48</v>
      </c>
      <c r="H320">
        <v>71</v>
      </c>
    </row>
    <row r="321" spans="1:8" x14ac:dyDescent="0.25">
      <c r="A321">
        <v>-50</v>
      </c>
      <c r="B321">
        <v>-150</v>
      </c>
      <c r="C321">
        <v>-60</v>
      </c>
      <c r="D321">
        <v>92</v>
      </c>
      <c r="E321">
        <v>416</v>
      </c>
      <c r="F321">
        <v>-194</v>
      </c>
      <c r="G321">
        <v>56</v>
      </c>
      <c r="H321">
        <v>-9</v>
      </c>
    </row>
    <row r="322" spans="1:8" x14ac:dyDescent="0.25">
      <c r="A322">
        <v>-27</v>
      </c>
    </row>
    <row r="323" spans="1:8" x14ac:dyDescent="0.25">
      <c r="A323">
        <v>-310</v>
      </c>
    </row>
    <row r="324" spans="1:8" x14ac:dyDescent="0.25">
      <c r="A324">
        <v>-77</v>
      </c>
    </row>
    <row r="325" spans="1:8" x14ac:dyDescent="0.25">
      <c r="A325">
        <v>404</v>
      </c>
    </row>
    <row r="326" spans="1:8" x14ac:dyDescent="0.25">
      <c r="A326">
        <v>23</v>
      </c>
    </row>
    <row r="327" spans="1:8" x14ac:dyDescent="0.25">
      <c r="A327">
        <v>131</v>
      </c>
    </row>
    <row r="328" spans="1:8" x14ac:dyDescent="0.25">
      <c r="A328">
        <v>53</v>
      </c>
    </row>
    <row r="329" spans="1:8" x14ac:dyDescent="0.25">
      <c r="A329">
        <v>-17</v>
      </c>
    </row>
    <row r="330" spans="1:8" x14ac:dyDescent="0.25">
      <c r="A330">
        <v>-81</v>
      </c>
    </row>
    <row r="331" spans="1:8" x14ac:dyDescent="0.25">
      <c r="A331">
        <v>-266</v>
      </c>
    </row>
    <row r="332" spans="1:8" x14ac:dyDescent="0.25">
      <c r="A332">
        <v>19</v>
      </c>
    </row>
    <row r="333" spans="1:8" x14ac:dyDescent="0.25">
      <c r="A333">
        <v>-928</v>
      </c>
    </row>
    <row r="334" spans="1:8" x14ac:dyDescent="0.25">
      <c r="A334">
        <v>621</v>
      </c>
    </row>
    <row r="335" spans="1:8" x14ac:dyDescent="0.25">
      <c r="A335">
        <v>-210</v>
      </c>
    </row>
    <row r="336" spans="1:8" x14ac:dyDescent="0.25">
      <c r="A336">
        <v>405</v>
      </c>
    </row>
    <row r="337" spans="1:8" x14ac:dyDescent="0.25">
      <c r="A337">
        <v>-64</v>
      </c>
    </row>
    <row r="338" spans="1:8" x14ac:dyDescent="0.25">
      <c r="A338">
        <v>-5</v>
      </c>
    </row>
    <row r="340" spans="1:8" x14ac:dyDescent="0.25">
      <c r="A340">
        <v>-15</v>
      </c>
      <c r="B340">
        <v>55</v>
      </c>
      <c r="C340">
        <v>28</v>
      </c>
      <c r="D340">
        <v>12</v>
      </c>
      <c r="E340">
        <v>-42</v>
      </c>
      <c r="F340">
        <v>-42</v>
      </c>
      <c r="G340">
        <v>-54</v>
      </c>
      <c r="H340">
        <v>45</v>
      </c>
    </row>
    <row r="341" spans="1:8" x14ac:dyDescent="0.25">
      <c r="A341">
        <v>12</v>
      </c>
      <c r="B341">
        <v>128</v>
      </c>
      <c r="C341">
        <v>-79</v>
      </c>
      <c r="D341">
        <v>-158</v>
      </c>
      <c r="E341">
        <v>-291</v>
      </c>
      <c r="F341">
        <v>79</v>
      </c>
      <c r="G341">
        <v>-181</v>
      </c>
      <c r="H341">
        <v>-39</v>
      </c>
    </row>
    <row r="342" spans="1:8" x14ac:dyDescent="0.25">
      <c r="A342">
        <v>-24</v>
      </c>
      <c r="B342">
        <v>-704</v>
      </c>
      <c r="C342">
        <v>-70</v>
      </c>
      <c r="D342">
        <v>-753</v>
      </c>
      <c r="E342">
        <v>-228</v>
      </c>
      <c r="F342">
        <v>485</v>
      </c>
      <c r="G342">
        <v>253</v>
      </c>
      <c r="H342">
        <v>0</v>
      </c>
    </row>
    <row r="343" spans="1:8" x14ac:dyDescent="0.25">
      <c r="A343">
        <v>-5</v>
      </c>
      <c r="B343">
        <v>282</v>
      </c>
      <c r="C343">
        <v>-47</v>
      </c>
      <c r="D343">
        <v>134</v>
      </c>
      <c r="E343">
        <v>-205</v>
      </c>
      <c r="F343">
        <v>-315</v>
      </c>
      <c r="G343">
        <v>-160</v>
      </c>
      <c r="H343">
        <v>-40</v>
      </c>
    </row>
    <row r="344" spans="1:8" x14ac:dyDescent="0.25">
      <c r="A344">
        <v>-53</v>
      </c>
      <c r="B344">
        <v>225</v>
      </c>
      <c r="C344">
        <v>-9</v>
      </c>
      <c r="D344">
        <v>140</v>
      </c>
      <c r="E344">
        <v>-173</v>
      </c>
      <c r="F344">
        <v>-283</v>
      </c>
      <c r="G344">
        <v>-119</v>
      </c>
      <c r="H344">
        <v>-7</v>
      </c>
    </row>
    <row r="345" spans="1:8" x14ac:dyDescent="0.25">
      <c r="A345">
        <v>-46</v>
      </c>
      <c r="B345">
        <v>359</v>
      </c>
      <c r="C345">
        <v>-65</v>
      </c>
      <c r="D345">
        <v>245</v>
      </c>
      <c r="E345">
        <v>-149</v>
      </c>
      <c r="F345">
        <v>52</v>
      </c>
      <c r="G345">
        <v>-260</v>
      </c>
      <c r="H345">
        <v>17</v>
      </c>
    </row>
    <row r="346" spans="1:8" x14ac:dyDescent="0.25">
      <c r="A346">
        <v>6</v>
      </c>
      <c r="B346">
        <v>442</v>
      </c>
      <c r="C346">
        <v>-7</v>
      </c>
      <c r="D346">
        <v>256</v>
      </c>
      <c r="E346">
        <v>-304</v>
      </c>
      <c r="F346">
        <v>159</v>
      </c>
      <c r="G346">
        <v>-172</v>
      </c>
      <c r="H346">
        <v>68</v>
      </c>
    </row>
    <row r="347" spans="1:8" x14ac:dyDescent="0.25">
      <c r="A347">
        <v>-50</v>
      </c>
      <c r="B347">
        <v>448</v>
      </c>
      <c r="C347">
        <v>-63</v>
      </c>
      <c r="D347">
        <v>197</v>
      </c>
      <c r="E347">
        <v>-158</v>
      </c>
      <c r="F347">
        <v>-206</v>
      </c>
      <c r="G347">
        <v>-103</v>
      </c>
      <c r="H347">
        <v>-17</v>
      </c>
    </row>
    <row r="348" spans="1:8" x14ac:dyDescent="0.25">
      <c r="A348">
        <v>-27</v>
      </c>
    </row>
    <row r="349" spans="1:8" x14ac:dyDescent="0.25">
      <c r="A349">
        <v>-211</v>
      </c>
    </row>
    <row r="350" spans="1:8" x14ac:dyDescent="0.25">
      <c r="A350">
        <v>-117</v>
      </c>
    </row>
    <row r="351" spans="1:8" x14ac:dyDescent="0.25">
      <c r="A351">
        <v>-497</v>
      </c>
    </row>
    <row r="352" spans="1:8" x14ac:dyDescent="0.25">
      <c r="A352">
        <v>-434</v>
      </c>
    </row>
    <row r="353" spans="1:8" x14ac:dyDescent="0.25">
      <c r="A353">
        <v>494</v>
      </c>
    </row>
    <row r="354" spans="1:8" x14ac:dyDescent="0.25">
      <c r="A354">
        <v>68</v>
      </c>
    </row>
    <row r="355" spans="1:8" x14ac:dyDescent="0.25">
      <c r="A355">
        <v>-20</v>
      </c>
    </row>
    <row r="356" spans="1:8" x14ac:dyDescent="0.25">
      <c r="A356">
        <v>-81</v>
      </c>
    </row>
    <row r="357" spans="1:8" x14ac:dyDescent="0.25">
      <c r="A357">
        <v>-14</v>
      </c>
    </row>
    <row r="358" spans="1:8" x14ac:dyDescent="0.25">
      <c r="A358">
        <v>-1</v>
      </c>
    </row>
    <row r="359" spans="1:8" x14ac:dyDescent="0.25">
      <c r="A359">
        <v>779</v>
      </c>
    </row>
    <row r="360" spans="1:8" x14ac:dyDescent="0.25">
      <c r="A360">
        <v>-172</v>
      </c>
    </row>
    <row r="361" spans="1:8" x14ac:dyDescent="0.25">
      <c r="A361">
        <v>-344</v>
      </c>
    </row>
    <row r="362" spans="1:8" x14ac:dyDescent="0.25">
      <c r="A362">
        <v>261</v>
      </c>
    </row>
    <row r="363" spans="1:8" x14ac:dyDescent="0.25">
      <c r="A363">
        <v>-63</v>
      </c>
    </row>
    <row r="364" spans="1:8" x14ac:dyDescent="0.25">
      <c r="A364">
        <v>-1045</v>
      </c>
    </row>
    <row r="366" spans="1:8" x14ac:dyDescent="0.25">
      <c r="A366">
        <v>-15</v>
      </c>
      <c r="B366">
        <v>55</v>
      </c>
      <c r="C366">
        <v>28</v>
      </c>
      <c r="D366">
        <v>12</v>
      </c>
      <c r="E366">
        <v>-42</v>
      </c>
      <c r="F366">
        <v>-42</v>
      </c>
      <c r="G366">
        <v>-54</v>
      </c>
      <c r="H366">
        <v>45</v>
      </c>
    </row>
    <row r="367" spans="1:8" x14ac:dyDescent="0.25">
      <c r="A367">
        <v>12</v>
      </c>
      <c r="B367">
        <v>-200</v>
      </c>
      <c r="C367">
        <v>-71</v>
      </c>
      <c r="D367">
        <v>135</v>
      </c>
      <c r="E367">
        <v>351</v>
      </c>
      <c r="F367">
        <v>-255</v>
      </c>
      <c r="G367">
        <v>-244</v>
      </c>
      <c r="H367">
        <v>-40</v>
      </c>
    </row>
    <row r="368" spans="1:8" x14ac:dyDescent="0.25">
      <c r="A368">
        <v>-24</v>
      </c>
      <c r="B368">
        <v>-196</v>
      </c>
      <c r="C368">
        <v>-48</v>
      </c>
      <c r="D368">
        <v>173</v>
      </c>
      <c r="E368">
        <v>301</v>
      </c>
      <c r="F368">
        <v>-305</v>
      </c>
      <c r="G368">
        <v>-193</v>
      </c>
      <c r="H368">
        <v>32</v>
      </c>
    </row>
    <row r="369" spans="1:8" x14ac:dyDescent="0.25">
      <c r="A369">
        <v>-5</v>
      </c>
      <c r="B369">
        <v>-158</v>
      </c>
      <c r="C369">
        <v>-47</v>
      </c>
      <c r="D369">
        <v>-7</v>
      </c>
      <c r="E369">
        <v>-691</v>
      </c>
      <c r="F369">
        <v>-26</v>
      </c>
      <c r="G369">
        <v>418</v>
      </c>
      <c r="H369">
        <v>-40</v>
      </c>
    </row>
    <row r="370" spans="1:8" x14ac:dyDescent="0.25">
      <c r="A370">
        <v>-53</v>
      </c>
      <c r="B370">
        <v>-171</v>
      </c>
      <c r="C370">
        <v>17</v>
      </c>
      <c r="D370">
        <v>3</v>
      </c>
      <c r="E370">
        <v>-564</v>
      </c>
      <c r="F370">
        <v>-19</v>
      </c>
      <c r="G370">
        <v>440</v>
      </c>
      <c r="H370">
        <v>-6</v>
      </c>
    </row>
    <row r="371" spans="1:8" x14ac:dyDescent="0.25">
      <c r="A371">
        <v>-46</v>
      </c>
      <c r="B371">
        <v>-152</v>
      </c>
      <c r="C371">
        <v>-59</v>
      </c>
      <c r="D371">
        <v>25</v>
      </c>
      <c r="E371">
        <v>-573</v>
      </c>
      <c r="F371">
        <v>152</v>
      </c>
      <c r="G371">
        <v>262</v>
      </c>
      <c r="H371">
        <v>23</v>
      </c>
    </row>
    <row r="372" spans="1:8" x14ac:dyDescent="0.25">
      <c r="A372">
        <v>6</v>
      </c>
      <c r="B372">
        <v>-142</v>
      </c>
      <c r="C372">
        <v>11</v>
      </c>
      <c r="D372">
        <v>204</v>
      </c>
      <c r="E372">
        <v>330</v>
      </c>
      <c r="F372">
        <v>-149</v>
      </c>
      <c r="G372">
        <v>-223</v>
      </c>
      <c r="H372">
        <v>100</v>
      </c>
    </row>
    <row r="373" spans="1:8" x14ac:dyDescent="0.25">
      <c r="A373">
        <v>-50</v>
      </c>
      <c r="B373">
        <v>-137</v>
      </c>
      <c r="C373">
        <v>-58</v>
      </c>
      <c r="D373">
        <v>260</v>
      </c>
      <c r="E373">
        <v>425</v>
      </c>
      <c r="F373">
        <v>-328</v>
      </c>
      <c r="G373">
        <v>-136</v>
      </c>
      <c r="H373">
        <v>5</v>
      </c>
    </row>
    <row r="374" spans="1:8" x14ac:dyDescent="0.25">
      <c r="A374">
        <v>-27</v>
      </c>
    </row>
    <row r="375" spans="1:8" x14ac:dyDescent="0.25">
      <c r="A375">
        <v>-313</v>
      </c>
    </row>
    <row r="376" spans="1:8" x14ac:dyDescent="0.25">
      <c r="A376">
        <v>-93</v>
      </c>
    </row>
    <row r="377" spans="1:8" x14ac:dyDescent="0.25">
      <c r="A377">
        <v>314</v>
      </c>
    </row>
    <row r="378" spans="1:8" x14ac:dyDescent="0.25">
      <c r="A378">
        <v>-333</v>
      </c>
    </row>
    <row r="379" spans="1:8" x14ac:dyDescent="0.25">
      <c r="A379">
        <v>-90</v>
      </c>
    </row>
    <row r="380" spans="1:8" x14ac:dyDescent="0.25">
      <c r="A380">
        <v>128</v>
      </c>
    </row>
    <row r="381" spans="1:8" x14ac:dyDescent="0.25">
      <c r="A381">
        <v>12</v>
      </c>
    </row>
    <row r="382" spans="1:8" x14ac:dyDescent="0.25">
      <c r="A382">
        <v>-81</v>
      </c>
    </row>
    <row r="383" spans="1:8" x14ac:dyDescent="0.25">
      <c r="A383">
        <v>-261</v>
      </c>
    </row>
    <row r="384" spans="1:8" x14ac:dyDescent="0.25">
      <c r="A384">
        <v>6</v>
      </c>
    </row>
    <row r="385" spans="1:8" x14ac:dyDescent="0.25">
      <c r="A385">
        <v>-966</v>
      </c>
    </row>
    <row r="386" spans="1:8" x14ac:dyDescent="0.25">
      <c r="A386">
        <v>1168</v>
      </c>
    </row>
    <row r="387" spans="1:8" x14ac:dyDescent="0.25">
      <c r="A387">
        <v>-143</v>
      </c>
    </row>
    <row r="388" spans="1:8" x14ac:dyDescent="0.25">
      <c r="A388">
        <v>-661</v>
      </c>
    </row>
    <row r="389" spans="1:8" x14ac:dyDescent="0.25">
      <c r="A389">
        <v>-72</v>
      </c>
    </row>
    <row r="390" spans="1:8" x14ac:dyDescent="0.25">
      <c r="A390">
        <v>-848</v>
      </c>
    </row>
    <row r="392" spans="1:8" x14ac:dyDescent="0.25">
      <c r="A392">
        <v>-15</v>
      </c>
      <c r="B392">
        <v>55</v>
      </c>
      <c r="C392">
        <v>28</v>
      </c>
      <c r="D392">
        <v>12</v>
      </c>
      <c r="E392">
        <v>-42</v>
      </c>
      <c r="F392">
        <v>-42</v>
      </c>
      <c r="G392">
        <v>-54</v>
      </c>
      <c r="H392">
        <v>45</v>
      </c>
    </row>
    <row r="393" spans="1:8" x14ac:dyDescent="0.25">
      <c r="A393">
        <v>12</v>
      </c>
      <c r="B393">
        <v>340</v>
      </c>
      <c r="C393">
        <v>-68</v>
      </c>
      <c r="D393">
        <v>-55</v>
      </c>
      <c r="E393">
        <v>-105</v>
      </c>
      <c r="F393">
        <v>70</v>
      </c>
      <c r="G393">
        <v>-26</v>
      </c>
      <c r="H393">
        <v>-39</v>
      </c>
    </row>
    <row r="394" spans="1:8" x14ac:dyDescent="0.25">
      <c r="A394">
        <v>-24</v>
      </c>
      <c r="B394">
        <v>331</v>
      </c>
      <c r="C394">
        <v>-35</v>
      </c>
      <c r="D394">
        <v>-106</v>
      </c>
      <c r="E394">
        <v>-92</v>
      </c>
      <c r="F394">
        <v>60</v>
      </c>
      <c r="G394">
        <v>-1</v>
      </c>
      <c r="H394">
        <v>-10</v>
      </c>
    </row>
    <row r="395" spans="1:8" x14ac:dyDescent="0.25">
      <c r="A395">
        <v>-5</v>
      </c>
      <c r="B395">
        <v>-321</v>
      </c>
      <c r="C395">
        <v>-42</v>
      </c>
      <c r="D395">
        <v>-183</v>
      </c>
      <c r="E395">
        <v>-83</v>
      </c>
      <c r="F395">
        <v>87</v>
      </c>
      <c r="G395">
        <v>225</v>
      </c>
      <c r="H395">
        <v>-40</v>
      </c>
    </row>
    <row r="396" spans="1:8" x14ac:dyDescent="0.25">
      <c r="A396">
        <v>-53</v>
      </c>
      <c r="B396">
        <v>271</v>
      </c>
      <c r="C396">
        <v>28</v>
      </c>
      <c r="D396">
        <v>1</v>
      </c>
      <c r="E396">
        <v>-88</v>
      </c>
      <c r="F396">
        <v>15</v>
      </c>
      <c r="G396">
        <v>-3</v>
      </c>
      <c r="H396">
        <v>-7</v>
      </c>
    </row>
    <row r="397" spans="1:8" x14ac:dyDescent="0.25">
      <c r="A397">
        <v>-46</v>
      </c>
      <c r="B397">
        <v>-257</v>
      </c>
      <c r="C397">
        <v>-61</v>
      </c>
      <c r="D397">
        <v>-136</v>
      </c>
      <c r="E397">
        <v>-81</v>
      </c>
      <c r="F397">
        <v>245</v>
      </c>
      <c r="G397">
        <v>120</v>
      </c>
      <c r="H397">
        <v>9</v>
      </c>
    </row>
    <row r="398" spans="1:8" x14ac:dyDescent="0.25">
      <c r="A398">
        <v>6</v>
      </c>
      <c r="B398">
        <v>-213</v>
      </c>
      <c r="C398">
        <v>30</v>
      </c>
      <c r="D398">
        <v>-152</v>
      </c>
      <c r="E398">
        <v>-103</v>
      </c>
      <c r="F398">
        <v>298</v>
      </c>
      <c r="G398">
        <v>155</v>
      </c>
      <c r="H398">
        <v>58</v>
      </c>
    </row>
    <row r="399" spans="1:8" x14ac:dyDescent="0.25">
      <c r="A399">
        <v>-50</v>
      </c>
      <c r="B399">
        <v>-226</v>
      </c>
      <c r="C399">
        <v>-59</v>
      </c>
      <c r="D399">
        <v>-193</v>
      </c>
      <c r="E399">
        <v>-76</v>
      </c>
      <c r="F399">
        <v>123</v>
      </c>
      <c r="G399">
        <v>218</v>
      </c>
      <c r="H399">
        <v>-18</v>
      </c>
    </row>
    <row r="400" spans="1:8" x14ac:dyDescent="0.25">
      <c r="A400">
        <v>-27</v>
      </c>
    </row>
    <row r="401" spans="1:1" x14ac:dyDescent="0.25">
      <c r="A401">
        <v>-83</v>
      </c>
    </row>
    <row r="402" spans="1:1" x14ac:dyDescent="0.25">
      <c r="A402">
        <v>-76</v>
      </c>
    </row>
    <row r="403" spans="1:1" x14ac:dyDescent="0.25">
      <c r="A403">
        <v>-186</v>
      </c>
    </row>
    <row r="404" spans="1:1" x14ac:dyDescent="0.25">
      <c r="A404">
        <v>-219</v>
      </c>
    </row>
    <row r="405" spans="1:1" x14ac:dyDescent="0.25">
      <c r="A405">
        <v>493</v>
      </c>
    </row>
    <row r="406" spans="1:1" x14ac:dyDescent="0.25">
      <c r="A406">
        <v>334</v>
      </c>
    </row>
    <row r="407" spans="1:1" x14ac:dyDescent="0.25">
      <c r="A407">
        <v>-30</v>
      </c>
    </row>
    <row r="408" spans="1:1" x14ac:dyDescent="0.25">
      <c r="A408">
        <v>-81</v>
      </c>
    </row>
    <row r="409" spans="1:1" x14ac:dyDescent="0.25">
      <c r="A409">
        <v>613</v>
      </c>
    </row>
    <row r="410" spans="1:1" x14ac:dyDescent="0.25">
      <c r="A410">
        <v>19</v>
      </c>
    </row>
    <row r="411" spans="1:1" x14ac:dyDescent="0.25">
      <c r="A411">
        <v>-221</v>
      </c>
    </row>
    <row r="412" spans="1:1" x14ac:dyDescent="0.25">
      <c r="A412">
        <v>-49</v>
      </c>
    </row>
    <row r="413" spans="1:1" x14ac:dyDescent="0.25">
      <c r="A413">
        <v>-436</v>
      </c>
    </row>
    <row r="414" spans="1:1" x14ac:dyDescent="0.25">
      <c r="A414">
        <v>-386</v>
      </c>
    </row>
    <row r="415" spans="1:1" x14ac:dyDescent="0.25">
      <c r="A415">
        <v>-63</v>
      </c>
    </row>
    <row r="416" spans="1:1" x14ac:dyDescent="0.25">
      <c r="A416">
        <v>-237</v>
      </c>
    </row>
    <row r="418" spans="1:8" x14ac:dyDescent="0.25">
      <c r="A418">
        <v>-15</v>
      </c>
      <c r="B418">
        <v>55</v>
      </c>
      <c r="C418">
        <v>28</v>
      </c>
      <c r="D418">
        <v>12</v>
      </c>
      <c r="E418">
        <v>-42</v>
      </c>
      <c r="F418">
        <v>-42</v>
      </c>
      <c r="G418">
        <v>-54</v>
      </c>
      <c r="H418">
        <v>45</v>
      </c>
    </row>
    <row r="419" spans="1:8" x14ac:dyDescent="0.25">
      <c r="A419">
        <v>12</v>
      </c>
      <c r="B419">
        <v>-414</v>
      </c>
      <c r="C419">
        <v>-67</v>
      </c>
      <c r="D419">
        <v>-90</v>
      </c>
      <c r="E419">
        <v>-90</v>
      </c>
      <c r="F419">
        <v>216</v>
      </c>
      <c r="G419">
        <v>304</v>
      </c>
      <c r="H419">
        <v>-39</v>
      </c>
    </row>
    <row r="420" spans="1:8" x14ac:dyDescent="0.25">
      <c r="A420">
        <v>-24</v>
      </c>
      <c r="B420">
        <v>98</v>
      </c>
      <c r="C420">
        <v>-33</v>
      </c>
      <c r="D420">
        <v>-12</v>
      </c>
      <c r="E420">
        <v>-81</v>
      </c>
      <c r="F420">
        <v>-153</v>
      </c>
      <c r="G420">
        <v>104</v>
      </c>
      <c r="H420">
        <v>-7</v>
      </c>
    </row>
    <row r="421" spans="1:8" x14ac:dyDescent="0.25">
      <c r="A421">
        <v>-5</v>
      </c>
      <c r="B421">
        <v>311</v>
      </c>
      <c r="C421">
        <v>-42</v>
      </c>
      <c r="D421">
        <v>-53</v>
      </c>
      <c r="E421">
        <v>-73</v>
      </c>
      <c r="F421">
        <v>-290</v>
      </c>
      <c r="G421">
        <v>-148</v>
      </c>
      <c r="H421">
        <v>-40</v>
      </c>
    </row>
    <row r="422" spans="1:8" x14ac:dyDescent="0.25">
      <c r="A422">
        <v>-53</v>
      </c>
      <c r="B422">
        <v>-338</v>
      </c>
      <c r="C422">
        <v>30</v>
      </c>
      <c r="D422">
        <v>-83</v>
      </c>
      <c r="E422">
        <v>-79</v>
      </c>
      <c r="F422">
        <v>74</v>
      </c>
      <c r="G422">
        <v>310</v>
      </c>
      <c r="H422">
        <v>-7</v>
      </c>
    </row>
    <row r="423" spans="1:8" x14ac:dyDescent="0.25">
      <c r="A423">
        <v>-46</v>
      </c>
      <c r="B423">
        <v>298</v>
      </c>
      <c r="C423">
        <v>-60</v>
      </c>
      <c r="D423">
        <v>117</v>
      </c>
      <c r="E423">
        <v>-74</v>
      </c>
      <c r="F423">
        <v>-109</v>
      </c>
      <c r="G423">
        <v>-175</v>
      </c>
      <c r="H423">
        <v>11</v>
      </c>
    </row>
    <row r="424" spans="1:8" x14ac:dyDescent="0.25">
      <c r="A424">
        <v>6</v>
      </c>
      <c r="B424">
        <v>-306</v>
      </c>
      <c r="C424">
        <v>31</v>
      </c>
      <c r="D424">
        <v>-65</v>
      </c>
      <c r="E424">
        <v>-87</v>
      </c>
      <c r="F424">
        <v>384</v>
      </c>
      <c r="G424">
        <v>296</v>
      </c>
      <c r="H424">
        <v>61</v>
      </c>
    </row>
    <row r="425" spans="1:8" x14ac:dyDescent="0.25">
      <c r="A425">
        <v>-50</v>
      </c>
      <c r="B425">
        <v>-283</v>
      </c>
      <c r="C425">
        <v>-59</v>
      </c>
      <c r="D425">
        <v>-158</v>
      </c>
      <c r="E425">
        <v>-67</v>
      </c>
      <c r="F425">
        <v>129</v>
      </c>
      <c r="G425">
        <v>303</v>
      </c>
      <c r="H425">
        <v>-18</v>
      </c>
    </row>
    <row r="426" spans="1:8" x14ac:dyDescent="0.25">
      <c r="A426">
        <v>-27</v>
      </c>
    </row>
    <row r="427" spans="1:8" x14ac:dyDescent="0.25">
      <c r="A427">
        <v>-87</v>
      </c>
    </row>
    <row r="428" spans="1:8" x14ac:dyDescent="0.25">
      <c r="A428">
        <v>-74</v>
      </c>
    </row>
    <row r="429" spans="1:8" x14ac:dyDescent="0.25">
      <c r="A429">
        <v>-40</v>
      </c>
    </row>
    <row r="430" spans="1:8" x14ac:dyDescent="0.25">
      <c r="A430">
        <v>-202</v>
      </c>
    </row>
    <row r="431" spans="1:8" x14ac:dyDescent="0.25">
      <c r="A431">
        <v>109</v>
      </c>
    </row>
    <row r="432" spans="1:8" x14ac:dyDescent="0.25">
      <c r="A432">
        <v>305</v>
      </c>
    </row>
    <row r="433" spans="1:8" x14ac:dyDescent="0.25">
      <c r="A433">
        <v>-28</v>
      </c>
    </row>
    <row r="434" spans="1:8" x14ac:dyDescent="0.25">
      <c r="A434">
        <v>-81</v>
      </c>
    </row>
    <row r="435" spans="1:8" x14ac:dyDescent="0.25">
      <c r="A435">
        <v>256</v>
      </c>
    </row>
    <row r="436" spans="1:8" x14ac:dyDescent="0.25">
      <c r="A436">
        <v>19</v>
      </c>
    </row>
    <row r="437" spans="1:8" x14ac:dyDescent="0.25">
      <c r="A437">
        <v>-259</v>
      </c>
    </row>
    <row r="438" spans="1:8" x14ac:dyDescent="0.25">
      <c r="A438">
        <v>-37</v>
      </c>
    </row>
    <row r="439" spans="1:8" x14ac:dyDescent="0.25">
      <c r="A439">
        <v>-158</v>
      </c>
    </row>
    <row r="440" spans="1:8" x14ac:dyDescent="0.25">
      <c r="A440">
        <v>-599</v>
      </c>
    </row>
    <row r="441" spans="1:8" x14ac:dyDescent="0.25">
      <c r="A441">
        <v>-63</v>
      </c>
    </row>
    <row r="442" spans="1:8" x14ac:dyDescent="0.25">
      <c r="A442">
        <v>25</v>
      </c>
    </row>
    <row r="444" spans="1:8" x14ac:dyDescent="0.25">
      <c r="A444">
        <v>-15</v>
      </c>
      <c r="B444">
        <v>55</v>
      </c>
      <c r="C444">
        <v>28</v>
      </c>
      <c r="D444">
        <v>12</v>
      </c>
      <c r="E444">
        <v>-42</v>
      </c>
      <c r="F444">
        <v>-42</v>
      </c>
      <c r="G444">
        <v>-54</v>
      </c>
      <c r="H444">
        <v>45</v>
      </c>
    </row>
    <row r="445" spans="1:8" x14ac:dyDescent="0.25">
      <c r="A445">
        <v>12</v>
      </c>
      <c r="B445">
        <v>492</v>
      </c>
      <c r="C445">
        <v>-74</v>
      </c>
      <c r="D445">
        <v>56</v>
      </c>
      <c r="E445">
        <v>-208</v>
      </c>
      <c r="F445">
        <v>-17</v>
      </c>
      <c r="G445">
        <v>137</v>
      </c>
      <c r="H445">
        <v>-39</v>
      </c>
    </row>
    <row r="446" spans="1:8" x14ac:dyDescent="0.25">
      <c r="A446">
        <v>-24</v>
      </c>
      <c r="B446">
        <v>537</v>
      </c>
      <c r="C446">
        <v>-60</v>
      </c>
      <c r="D446">
        <v>14</v>
      </c>
      <c r="E446">
        <v>-165</v>
      </c>
      <c r="F446">
        <v>-150</v>
      </c>
      <c r="G446">
        <v>158</v>
      </c>
      <c r="H446">
        <v>-3</v>
      </c>
    </row>
    <row r="447" spans="1:8" x14ac:dyDescent="0.25">
      <c r="A447">
        <v>-5</v>
      </c>
      <c r="B447">
        <v>567</v>
      </c>
      <c r="C447">
        <v>-47</v>
      </c>
      <c r="D447">
        <v>131</v>
      </c>
      <c r="E447">
        <v>-153</v>
      </c>
      <c r="F447">
        <v>-408</v>
      </c>
      <c r="G447">
        <v>167</v>
      </c>
      <c r="H447">
        <v>-40</v>
      </c>
    </row>
    <row r="448" spans="1:8" x14ac:dyDescent="0.25">
      <c r="A448">
        <v>-53</v>
      </c>
      <c r="B448">
        <v>-664</v>
      </c>
      <c r="C448">
        <v>2</v>
      </c>
      <c r="D448">
        <v>-336</v>
      </c>
      <c r="E448">
        <v>-124</v>
      </c>
      <c r="F448">
        <v>241</v>
      </c>
      <c r="G448">
        <v>490</v>
      </c>
      <c r="H448">
        <v>-7</v>
      </c>
    </row>
    <row r="449" spans="1:8" x14ac:dyDescent="0.25">
      <c r="A449">
        <v>-46</v>
      </c>
      <c r="B449">
        <v>657</v>
      </c>
      <c r="C449">
        <v>-62</v>
      </c>
      <c r="D449">
        <v>181</v>
      </c>
      <c r="E449">
        <v>-104</v>
      </c>
      <c r="F449">
        <v>1</v>
      </c>
      <c r="G449">
        <v>51</v>
      </c>
      <c r="H449">
        <v>16</v>
      </c>
    </row>
    <row r="450" spans="1:8" x14ac:dyDescent="0.25">
      <c r="A450">
        <v>6</v>
      </c>
      <c r="B450">
        <v>-421</v>
      </c>
      <c r="C450">
        <v>4</v>
      </c>
      <c r="D450">
        <v>-307</v>
      </c>
      <c r="E450">
        <v>-213</v>
      </c>
      <c r="F450">
        <v>666</v>
      </c>
      <c r="G450">
        <v>389</v>
      </c>
      <c r="H450">
        <v>65</v>
      </c>
    </row>
    <row r="451" spans="1:8" x14ac:dyDescent="0.25">
      <c r="A451">
        <v>-50</v>
      </c>
      <c r="B451">
        <v>-427</v>
      </c>
      <c r="C451">
        <v>-63</v>
      </c>
      <c r="D451">
        <v>-346</v>
      </c>
      <c r="E451">
        <v>-114</v>
      </c>
      <c r="F451">
        <v>340</v>
      </c>
      <c r="G451">
        <v>466</v>
      </c>
      <c r="H451">
        <v>-18</v>
      </c>
    </row>
    <row r="452" spans="1:8" x14ac:dyDescent="0.25">
      <c r="A452">
        <v>-27</v>
      </c>
    </row>
    <row r="453" spans="1:8" x14ac:dyDescent="0.25">
      <c r="A453">
        <v>21</v>
      </c>
    </row>
    <row r="454" spans="1:8" x14ac:dyDescent="0.25">
      <c r="A454">
        <v>-106</v>
      </c>
    </row>
    <row r="455" spans="1:8" x14ac:dyDescent="0.25">
      <c r="A455">
        <v>-182</v>
      </c>
    </row>
    <row r="456" spans="1:8" x14ac:dyDescent="0.25">
      <c r="A456">
        <v>-333</v>
      </c>
    </row>
    <row r="457" spans="1:8" x14ac:dyDescent="0.25">
      <c r="A457">
        <v>420</v>
      </c>
    </row>
    <row r="458" spans="1:8" x14ac:dyDescent="0.25">
      <c r="A458">
        <v>691</v>
      </c>
    </row>
    <row r="459" spans="1:8" x14ac:dyDescent="0.25">
      <c r="A459">
        <v>-23</v>
      </c>
    </row>
    <row r="460" spans="1:8" x14ac:dyDescent="0.25">
      <c r="A460">
        <v>-81</v>
      </c>
    </row>
    <row r="461" spans="1:8" x14ac:dyDescent="0.25">
      <c r="A461">
        <v>714</v>
      </c>
    </row>
    <row r="462" spans="1:8" x14ac:dyDescent="0.25">
      <c r="A462">
        <v>4</v>
      </c>
    </row>
    <row r="463" spans="1:8" x14ac:dyDescent="0.25">
      <c r="A463">
        <v>9</v>
      </c>
    </row>
    <row r="464" spans="1:8" x14ac:dyDescent="0.25">
      <c r="A464">
        <v>-103</v>
      </c>
    </row>
    <row r="465" spans="1:8" x14ac:dyDescent="0.25">
      <c r="A465">
        <v>-590</v>
      </c>
    </row>
    <row r="466" spans="1:8" x14ac:dyDescent="0.25">
      <c r="A466">
        <v>-1221</v>
      </c>
    </row>
    <row r="467" spans="1:8" x14ac:dyDescent="0.25">
      <c r="A467">
        <v>-63</v>
      </c>
    </row>
    <row r="468" spans="1:8" x14ac:dyDescent="0.25">
      <c r="A468">
        <v>-409</v>
      </c>
    </row>
    <row r="470" spans="1:8" x14ac:dyDescent="0.25">
      <c r="A470">
        <v>-15</v>
      </c>
      <c r="B470">
        <v>55</v>
      </c>
      <c r="C470">
        <v>28</v>
      </c>
      <c r="D470">
        <v>12</v>
      </c>
      <c r="E470">
        <v>-42</v>
      </c>
      <c r="F470">
        <v>-42</v>
      </c>
      <c r="G470">
        <v>-54</v>
      </c>
      <c r="H470">
        <v>45</v>
      </c>
    </row>
    <row r="471" spans="1:8" x14ac:dyDescent="0.25">
      <c r="A471">
        <v>12</v>
      </c>
      <c r="B471">
        <v>128</v>
      </c>
      <c r="C471">
        <v>-79</v>
      </c>
      <c r="D471">
        <v>-158</v>
      </c>
      <c r="E471">
        <v>-291</v>
      </c>
      <c r="F471">
        <v>79</v>
      </c>
      <c r="G471">
        <v>-181</v>
      </c>
      <c r="H471">
        <v>-39</v>
      </c>
    </row>
    <row r="472" spans="1:8" x14ac:dyDescent="0.25">
      <c r="A472">
        <v>-24</v>
      </c>
      <c r="B472">
        <v>-704</v>
      </c>
      <c r="C472">
        <v>-70</v>
      </c>
      <c r="D472">
        <v>-753</v>
      </c>
      <c r="E472">
        <v>-228</v>
      </c>
      <c r="F472">
        <v>485</v>
      </c>
      <c r="G472">
        <v>253</v>
      </c>
      <c r="H472">
        <v>0</v>
      </c>
    </row>
    <row r="473" spans="1:8" x14ac:dyDescent="0.25">
      <c r="A473">
        <v>-5</v>
      </c>
      <c r="B473">
        <v>282</v>
      </c>
      <c r="C473">
        <v>-47</v>
      </c>
      <c r="D473">
        <v>134</v>
      </c>
      <c r="E473">
        <v>-205</v>
      </c>
      <c r="F473">
        <v>-315</v>
      </c>
      <c r="G473">
        <v>-160</v>
      </c>
      <c r="H473">
        <v>-40</v>
      </c>
    </row>
    <row r="474" spans="1:8" x14ac:dyDescent="0.25">
      <c r="A474">
        <v>-53</v>
      </c>
      <c r="B474">
        <v>225</v>
      </c>
      <c r="C474">
        <v>-9</v>
      </c>
      <c r="D474">
        <v>140</v>
      </c>
      <c r="E474">
        <v>-173</v>
      </c>
      <c r="F474">
        <v>-283</v>
      </c>
      <c r="G474">
        <v>-119</v>
      </c>
      <c r="H474">
        <v>-7</v>
      </c>
    </row>
    <row r="475" spans="1:8" x14ac:dyDescent="0.25">
      <c r="A475">
        <v>-46</v>
      </c>
      <c r="B475">
        <v>359</v>
      </c>
      <c r="C475">
        <v>-65</v>
      </c>
      <c r="D475">
        <v>245</v>
      </c>
      <c r="E475">
        <v>-149</v>
      </c>
      <c r="F475">
        <v>52</v>
      </c>
      <c r="G475">
        <v>-260</v>
      </c>
      <c r="H475">
        <v>17</v>
      </c>
    </row>
    <row r="476" spans="1:8" x14ac:dyDescent="0.25">
      <c r="A476">
        <v>6</v>
      </c>
      <c r="B476">
        <v>442</v>
      </c>
      <c r="C476">
        <v>-7</v>
      </c>
      <c r="D476">
        <v>256</v>
      </c>
      <c r="E476">
        <v>-304</v>
      </c>
      <c r="F476">
        <v>159</v>
      </c>
      <c r="G476">
        <v>-172</v>
      </c>
      <c r="H476">
        <v>68</v>
      </c>
    </row>
    <row r="477" spans="1:8" x14ac:dyDescent="0.25">
      <c r="A477">
        <v>-50</v>
      </c>
      <c r="B477">
        <v>448</v>
      </c>
      <c r="C477">
        <v>-63</v>
      </c>
      <c r="D477">
        <v>197</v>
      </c>
      <c r="E477">
        <v>-158</v>
      </c>
      <c r="F477">
        <v>-206</v>
      </c>
      <c r="G477">
        <v>-103</v>
      </c>
      <c r="H477">
        <v>-17</v>
      </c>
    </row>
    <row r="478" spans="1:8" x14ac:dyDescent="0.25">
      <c r="A478">
        <v>-27</v>
      </c>
    </row>
    <row r="479" spans="1:8" x14ac:dyDescent="0.25">
      <c r="A479">
        <v>-211</v>
      </c>
    </row>
    <row r="480" spans="1:8" x14ac:dyDescent="0.25">
      <c r="A480">
        <v>-117</v>
      </c>
    </row>
    <row r="481" spans="1:8" x14ac:dyDescent="0.25">
      <c r="A481">
        <v>-497</v>
      </c>
    </row>
    <row r="482" spans="1:8" x14ac:dyDescent="0.25">
      <c r="A482">
        <v>-434</v>
      </c>
    </row>
    <row r="483" spans="1:8" x14ac:dyDescent="0.25">
      <c r="A483">
        <v>494</v>
      </c>
    </row>
    <row r="484" spans="1:8" x14ac:dyDescent="0.25">
      <c r="A484">
        <v>68</v>
      </c>
    </row>
    <row r="485" spans="1:8" x14ac:dyDescent="0.25">
      <c r="A485">
        <v>-20</v>
      </c>
    </row>
    <row r="486" spans="1:8" x14ac:dyDescent="0.25">
      <c r="A486">
        <v>-81</v>
      </c>
    </row>
    <row r="487" spans="1:8" x14ac:dyDescent="0.25">
      <c r="A487">
        <v>-14</v>
      </c>
    </row>
    <row r="488" spans="1:8" x14ac:dyDescent="0.25">
      <c r="A488">
        <v>-1</v>
      </c>
    </row>
    <row r="489" spans="1:8" x14ac:dyDescent="0.25">
      <c r="A489">
        <v>779</v>
      </c>
    </row>
    <row r="490" spans="1:8" x14ac:dyDescent="0.25">
      <c r="A490">
        <v>-172</v>
      </c>
    </row>
    <row r="491" spans="1:8" x14ac:dyDescent="0.25">
      <c r="A491">
        <v>-344</v>
      </c>
    </row>
    <row r="492" spans="1:8" x14ac:dyDescent="0.25">
      <c r="A492">
        <v>261</v>
      </c>
    </row>
    <row r="493" spans="1:8" x14ac:dyDescent="0.25">
      <c r="A493">
        <v>-63</v>
      </c>
    </row>
    <row r="494" spans="1:8" x14ac:dyDescent="0.25">
      <c r="A494">
        <v>-1045</v>
      </c>
    </row>
    <row r="496" spans="1:8" x14ac:dyDescent="0.25">
      <c r="A496">
        <v>-15</v>
      </c>
      <c r="B496">
        <v>55</v>
      </c>
      <c r="C496">
        <v>28</v>
      </c>
      <c r="D496">
        <v>12</v>
      </c>
      <c r="E496">
        <v>-42</v>
      </c>
      <c r="F496">
        <v>-42</v>
      </c>
      <c r="G496">
        <v>-54</v>
      </c>
      <c r="H496">
        <v>45</v>
      </c>
    </row>
    <row r="497" spans="1:8" x14ac:dyDescent="0.25">
      <c r="A497">
        <v>12</v>
      </c>
      <c r="B497">
        <v>-220</v>
      </c>
      <c r="C497">
        <v>-70</v>
      </c>
      <c r="D497">
        <v>-96</v>
      </c>
      <c r="E497">
        <v>-101</v>
      </c>
      <c r="F497">
        <v>-426</v>
      </c>
      <c r="G497">
        <v>-46</v>
      </c>
      <c r="H497">
        <v>-3</v>
      </c>
    </row>
    <row r="498" spans="1:8" x14ac:dyDescent="0.25">
      <c r="A498">
        <v>-24</v>
      </c>
      <c r="B498">
        <v>-204</v>
      </c>
      <c r="C498">
        <v>-46</v>
      </c>
      <c r="D498">
        <v>-701</v>
      </c>
      <c r="E498">
        <v>-84</v>
      </c>
      <c r="F498">
        <v>52</v>
      </c>
      <c r="G498">
        <v>249</v>
      </c>
      <c r="H498">
        <v>1</v>
      </c>
    </row>
    <row r="499" spans="1:8" x14ac:dyDescent="0.25">
      <c r="A499">
        <v>-5</v>
      </c>
      <c r="B499">
        <v>-173</v>
      </c>
      <c r="C499">
        <v>-44</v>
      </c>
      <c r="D499">
        <v>-532</v>
      </c>
      <c r="E499">
        <v>-79</v>
      </c>
      <c r="F499">
        <v>-24</v>
      </c>
      <c r="G499">
        <v>258</v>
      </c>
      <c r="H499">
        <v>-40</v>
      </c>
    </row>
    <row r="500" spans="1:8" x14ac:dyDescent="0.25">
      <c r="A500">
        <v>-53</v>
      </c>
      <c r="B500">
        <v>-180</v>
      </c>
      <c r="C500">
        <v>17</v>
      </c>
      <c r="D500">
        <v>-534</v>
      </c>
      <c r="E500">
        <v>-73</v>
      </c>
      <c r="F500">
        <v>-17</v>
      </c>
      <c r="G500">
        <v>287</v>
      </c>
      <c r="H500">
        <v>-7</v>
      </c>
    </row>
    <row r="501" spans="1:8" x14ac:dyDescent="0.25">
      <c r="A501">
        <v>-46</v>
      </c>
      <c r="B501">
        <v>-163</v>
      </c>
      <c r="C501">
        <v>-59</v>
      </c>
      <c r="D501">
        <v>218</v>
      </c>
      <c r="E501">
        <v>-65</v>
      </c>
      <c r="F501">
        <v>-366</v>
      </c>
      <c r="G501">
        <v>-220</v>
      </c>
      <c r="H501">
        <v>50</v>
      </c>
    </row>
    <row r="502" spans="1:8" x14ac:dyDescent="0.25">
      <c r="A502">
        <v>6</v>
      </c>
      <c r="B502">
        <v>-153</v>
      </c>
      <c r="C502">
        <v>18</v>
      </c>
      <c r="D502">
        <v>325</v>
      </c>
      <c r="E502">
        <v>-95</v>
      </c>
      <c r="F502">
        <v>-307</v>
      </c>
      <c r="G502">
        <v>-33</v>
      </c>
      <c r="H502">
        <v>102</v>
      </c>
    </row>
    <row r="503" spans="1:8" x14ac:dyDescent="0.25">
      <c r="A503">
        <v>-50</v>
      </c>
      <c r="B503">
        <v>-147</v>
      </c>
      <c r="C503">
        <v>-61</v>
      </c>
      <c r="D503">
        <v>328</v>
      </c>
      <c r="E503">
        <v>-70</v>
      </c>
      <c r="F503">
        <v>-454</v>
      </c>
      <c r="G503">
        <v>25</v>
      </c>
      <c r="H503">
        <v>-29</v>
      </c>
    </row>
    <row r="504" spans="1:8" x14ac:dyDescent="0.25">
      <c r="A504">
        <v>-27</v>
      </c>
    </row>
    <row r="505" spans="1:8" x14ac:dyDescent="0.25">
      <c r="A505">
        <v>-333</v>
      </c>
    </row>
    <row r="506" spans="1:8" x14ac:dyDescent="0.25">
      <c r="A506">
        <v>-90</v>
      </c>
    </row>
    <row r="507" spans="1:8" x14ac:dyDescent="0.25">
      <c r="A507">
        <v>-411</v>
      </c>
    </row>
    <row r="508" spans="1:8" x14ac:dyDescent="0.25">
      <c r="A508">
        <v>-208</v>
      </c>
    </row>
    <row r="509" spans="1:8" x14ac:dyDescent="0.25">
      <c r="A509">
        <v>-262</v>
      </c>
    </row>
    <row r="510" spans="1:8" x14ac:dyDescent="0.25">
      <c r="A510">
        <v>202</v>
      </c>
    </row>
    <row r="511" spans="1:8" x14ac:dyDescent="0.25">
      <c r="A511">
        <v>16</v>
      </c>
    </row>
    <row r="512" spans="1:8" x14ac:dyDescent="0.25">
      <c r="A512">
        <v>-81</v>
      </c>
    </row>
    <row r="513" spans="1:8" x14ac:dyDescent="0.25">
      <c r="A513">
        <v>-280</v>
      </c>
    </row>
    <row r="514" spans="1:8" x14ac:dyDescent="0.25">
      <c r="A514">
        <v>12</v>
      </c>
    </row>
    <row r="515" spans="1:8" x14ac:dyDescent="0.25">
      <c r="A515">
        <v>500</v>
      </c>
    </row>
    <row r="516" spans="1:8" x14ac:dyDescent="0.25">
      <c r="A516">
        <v>-37</v>
      </c>
    </row>
    <row r="517" spans="1:8" x14ac:dyDescent="0.25">
      <c r="A517">
        <v>310</v>
      </c>
    </row>
    <row r="518" spans="1:8" x14ac:dyDescent="0.25">
      <c r="A518">
        <v>-444</v>
      </c>
    </row>
    <row r="519" spans="1:8" x14ac:dyDescent="0.25">
      <c r="A519">
        <v>-58</v>
      </c>
    </row>
    <row r="520" spans="1:8" x14ac:dyDescent="0.25">
      <c r="A520">
        <v>-710</v>
      </c>
    </row>
    <row r="522" spans="1:8" x14ac:dyDescent="0.25">
      <c r="A522">
        <v>-15</v>
      </c>
      <c r="B522">
        <v>55</v>
      </c>
      <c r="C522">
        <v>28</v>
      </c>
      <c r="D522">
        <v>12</v>
      </c>
      <c r="E522">
        <v>-42</v>
      </c>
      <c r="F522">
        <v>-42</v>
      </c>
      <c r="G522">
        <v>-54</v>
      </c>
      <c r="H522">
        <v>45</v>
      </c>
    </row>
    <row r="523" spans="1:8" x14ac:dyDescent="0.25">
      <c r="A523">
        <v>12</v>
      </c>
      <c r="B523">
        <v>114</v>
      </c>
      <c r="C523">
        <v>-66</v>
      </c>
      <c r="D523">
        <v>4</v>
      </c>
      <c r="E523">
        <v>-83</v>
      </c>
      <c r="F523">
        <v>-94</v>
      </c>
      <c r="G523">
        <v>-4</v>
      </c>
      <c r="H523">
        <v>-39</v>
      </c>
    </row>
    <row r="524" spans="1:8" x14ac:dyDescent="0.25">
      <c r="A524">
        <v>-24</v>
      </c>
      <c r="B524">
        <v>-354</v>
      </c>
      <c r="C524">
        <v>-32</v>
      </c>
      <c r="D524">
        <v>-217</v>
      </c>
      <c r="E524">
        <v>-76</v>
      </c>
      <c r="F524">
        <v>194</v>
      </c>
      <c r="G524">
        <v>193</v>
      </c>
      <c r="H524">
        <v>-11</v>
      </c>
    </row>
    <row r="525" spans="1:8" x14ac:dyDescent="0.25">
      <c r="A525">
        <v>-5</v>
      </c>
      <c r="B525">
        <v>304</v>
      </c>
      <c r="C525">
        <v>-41</v>
      </c>
      <c r="D525">
        <v>5</v>
      </c>
      <c r="E525">
        <v>-69</v>
      </c>
      <c r="F525">
        <v>-347</v>
      </c>
      <c r="G525">
        <v>-103</v>
      </c>
      <c r="H525">
        <v>-40</v>
      </c>
    </row>
    <row r="526" spans="1:8" x14ac:dyDescent="0.25">
      <c r="A526">
        <v>-53</v>
      </c>
      <c r="B526">
        <v>-332</v>
      </c>
      <c r="C526">
        <v>32</v>
      </c>
      <c r="D526">
        <v>-120</v>
      </c>
      <c r="E526">
        <v>-77</v>
      </c>
      <c r="F526">
        <v>81</v>
      </c>
      <c r="G526">
        <v>272</v>
      </c>
      <c r="H526">
        <v>-7</v>
      </c>
    </row>
    <row r="527" spans="1:8" x14ac:dyDescent="0.25">
      <c r="A527">
        <v>-46</v>
      </c>
      <c r="B527">
        <v>-311</v>
      </c>
      <c r="C527">
        <v>-60</v>
      </c>
      <c r="D527">
        <v>-103</v>
      </c>
      <c r="E527">
        <v>-72</v>
      </c>
      <c r="F527">
        <v>322</v>
      </c>
      <c r="G527">
        <v>102</v>
      </c>
      <c r="H527">
        <v>8</v>
      </c>
    </row>
    <row r="528" spans="1:8" x14ac:dyDescent="0.25">
      <c r="A528">
        <v>6</v>
      </c>
      <c r="B528">
        <v>-266</v>
      </c>
      <c r="C528">
        <v>33</v>
      </c>
      <c r="D528">
        <v>-116</v>
      </c>
      <c r="E528">
        <v>-80</v>
      </c>
      <c r="F528">
        <v>352</v>
      </c>
      <c r="G528">
        <v>201</v>
      </c>
      <c r="H528">
        <v>57</v>
      </c>
    </row>
    <row r="529" spans="1:8" x14ac:dyDescent="0.25">
      <c r="A529">
        <v>-50</v>
      </c>
      <c r="B529">
        <v>-271</v>
      </c>
      <c r="C529">
        <v>-58</v>
      </c>
      <c r="D529">
        <v>-163</v>
      </c>
      <c r="E529">
        <v>-65</v>
      </c>
      <c r="F529">
        <v>127</v>
      </c>
      <c r="G529">
        <v>279</v>
      </c>
      <c r="H529">
        <v>-18</v>
      </c>
    </row>
    <row r="530" spans="1:8" x14ac:dyDescent="0.25">
      <c r="A530">
        <v>-27</v>
      </c>
    </row>
    <row r="531" spans="1:8" x14ac:dyDescent="0.25">
      <c r="A531">
        <v>-34</v>
      </c>
    </row>
    <row r="532" spans="1:8" x14ac:dyDescent="0.25">
      <c r="A532">
        <v>-72</v>
      </c>
    </row>
    <row r="533" spans="1:8" x14ac:dyDescent="0.25">
      <c r="A533">
        <v>-108</v>
      </c>
    </row>
    <row r="534" spans="1:8" x14ac:dyDescent="0.25">
      <c r="A534">
        <v>-194</v>
      </c>
    </row>
    <row r="535" spans="1:8" x14ac:dyDescent="0.25">
      <c r="A535">
        <v>143</v>
      </c>
    </row>
    <row r="536" spans="1:8" x14ac:dyDescent="0.25">
      <c r="A536">
        <v>180</v>
      </c>
    </row>
    <row r="537" spans="1:8" x14ac:dyDescent="0.25">
      <c r="A537">
        <v>-31</v>
      </c>
    </row>
    <row r="538" spans="1:8" x14ac:dyDescent="0.25">
      <c r="A538">
        <v>-81</v>
      </c>
    </row>
    <row r="539" spans="1:8" x14ac:dyDescent="0.25">
      <c r="A539">
        <v>380</v>
      </c>
    </row>
    <row r="540" spans="1:8" x14ac:dyDescent="0.25">
      <c r="A540">
        <v>20</v>
      </c>
    </row>
    <row r="541" spans="1:8" x14ac:dyDescent="0.25">
      <c r="A541">
        <v>-55</v>
      </c>
    </row>
    <row r="542" spans="1:8" x14ac:dyDescent="0.25">
      <c r="A542">
        <v>-34</v>
      </c>
    </row>
    <row r="543" spans="1:8" x14ac:dyDescent="0.25">
      <c r="A543">
        <v>-294</v>
      </c>
    </row>
    <row r="544" spans="1:8" x14ac:dyDescent="0.25">
      <c r="A544">
        <v>-419</v>
      </c>
    </row>
    <row r="545" spans="1:8" x14ac:dyDescent="0.25">
      <c r="A545">
        <v>-63</v>
      </c>
    </row>
    <row r="546" spans="1:8" x14ac:dyDescent="0.25">
      <c r="A546">
        <v>-104</v>
      </c>
    </row>
    <row r="548" spans="1:8" x14ac:dyDescent="0.25">
      <c r="A548">
        <v>-15</v>
      </c>
      <c r="B548">
        <v>55</v>
      </c>
      <c r="C548">
        <v>28</v>
      </c>
      <c r="D548">
        <v>12</v>
      </c>
      <c r="E548">
        <v>-42</v>
      </c>
      <c r="F548">
        <v>-42</v>
      </c>
      <c r="G548">
        <v>-54</v>
      </c>
      <c r="H548">
        <v>45</v>
      </c>
    </row>
    <row r="549" spans="1:8" x14ac:dyDescent="0.25">
      <c r="A549">
        <v>12</v>
      </c>
      <c r="B549">
        <v>64</v>
      </c>
      <c r="C549">
        <v>-67</v>
      </c>
      <c r="D549">
        <v>24</v>
      </c>
      <c r="E549">
        <v>-105</v>
      </c>
      <c r="F549">
        <v>-46</v>
      </c>
      <c r="G549">
        <v>88</v>
      </c>
      <c r="H549">
        <v>-39</v>
      </c>
    </row>
    <row r="550" spans="1:8" x14ac:dyDescent="0.25">
      <c r="A550">
        <v>-24</v>
      </c>
      <c r="B550">
        <v>-306</v>
      </c>
      <c r="C550">
        <v>-38</v>
      </c>
      <c r="D550">
        <v>-288</v>
      </c>
      <c r="E550">
        <v>-92</v>
      </c>
      <c r="F550">
        <v>155</v>
      </c>
      <c r="G550">
        <v>177</v>
      </c>
      <c r="H550">
        <v>-10</v>
      </c>
    </row>
    <row r="551" spans="1:8" x14ac:dyDescent="0.25">
      <c r="A551">
        <v>-5</v>
      </c>
      <c r="B551">
        <v>297</v>
      </c>
      <c r="C551">
        <v>-41</v>
      </c>
      <c r="D551">
        <v>99</v>
      </c>
      <c r="E551">
        <v>-84</v>
      </c>
      <c r="F551">
        <v>-322</v>
      </c>
      <c r="G551">
        <v>-98</v>
      </c>
      <c r="H551">
        <v>-40</v>
      </c>
    </row>
    <row r="552" spans="1:8" x14ac:dyDescent="0.25">
      <c r="A552">
        <v>-53</v>
      </c>
      <c r="B552">
        <v>-263</v>
      </c>
      <c r="C552">
        <v>26</v>
      </c>
      <c r="D552">
        <v>-179</v>
      </c>
      <c r="E552">
        <v>-87</v>
      </c>
      <c r="F552">
        <v>37</v>
      </c>
      <c r="G552">
        <v>198</v>
      </c>
      <c r="H552">
        <v>-7</v>
      </c>
    </row>
    <row r="553" spans="1:8" x14ac:dyDescent="0.25">
      <c r="A553">
        <v>-46</v>
      </c>
      <c r="B553">
        <v>274</v>
      </c>
      <c r="C553">
        <v>-62</v>
      </c>
      <c r="D553">
        <v>134</v>
      </c>
      <c r="E553">
        <v>-77</v>
      </c>
      <c r="F553">
        <v>6</v>
      </c>
      <c r="G553">
        <v>-151</v>
      </c>
      <c r="H553">
        <v>9</v>
      </c>
    </row>
    <row r="554" spans="1:8" x14ac:dyDescent="0.25">
      <c r="A554">
        <v>6</v>
      </c>
      <c r="B554">
        <v>-225</v>
      </c>
      <c r="C554">
        <v>28</v>
      </c>
      <c r="D554">
        <v>-172</v>
      </c>
      <c r="E554">
        <v>-103</v>
      </c>
      <c r="F554">
        <v>299</v>
      </c>
      <c r="G554">
        <v>168</v>
      </c>
      <c r="H554">
        <v>58</v>
      </c>
    </row>
    <row r="555" spans="1:8" x14ac:dyDescent="0.25">
      <c r="A555">
        <v>-50</v>
      </c>
      <c r="B555">
        <v>-220</v>
      </c>
      <c r="C555">
        <v>-60</v>
      </c>
      <c r="D555">
        <v>-220</v>
      </c>
      <c r="E555">
        <v>-75</v>
      </c>
      <c r="F555">
        <v>98</v>
      </c>
      <c r="G555">
        <v>216</v>
      </c>
      <c r="H555">
        <v>-18</v>
      </c>
    </row>
    <row r="556" spans="1:8" x14ac:dyDescent="0.25">
      <c r="A556">
        <v>-27</v>
      </c>
    </row>
    <row r="557" spans="1:8" x14ac:dyDescent="0.25">
      <c r="A557">
        <v>-84</v>
      </c>
    </row>
    <row r="558" spans="1:8" x14ac:dyDescent="0.25">
      <c r="A558">
        <v>-79</v>
      </c>
    </row>
    <row r="559" spans="1:8" x14ac:dyDescent="0.25">
      <c r="A559">
        <v>-115</v>
      </c>
    </row>
    <row r="560" spans="1:8" x14ac:dyDescent="0.25">
      <c r="A560">
        <v>-218</v>
      </c>
    </row>
    <row r="561" spans="1:8" x14ac:dyDescent="0.25">
      <c r="A561">
        <v>176</v>
      </c>
    </row>
    <row r="562" spans="1:8" x14ac:dyDescent="0.25">
      <c r="A562">
        <v>266</v>
      </c>
    </row>
    <row r="563" spans="1:8" x14ac:dyDescent="0.25">
      <c r="A563">
        <v>-30</v>
      </c>
    </row>
    <row r="564" spans="1:8" x14ac:dyDescent="0.25">
      <c r="A564">
        <v>-81</v>
      </c>
    </row>
    <row r="565" spans="1:8" x14ac:dyDescent="0.25">
      <c r="A565">
        <v>308</v>
      </c>
    </row>
    <row r="566" spans="1:8" x14ac:dyDescent="0.25">
      <c r="A566">
        <v>18</v>
      </c>
    </row>
    <row r="567" spans="1:8" x14ac:dyDescent="0.25">
      <c r="A567">
        <v>116</v>
      </c>
    </row>
    <row r="568" spans="1:8" x14ac:dyDescent="0.25">
      <c r="A568">
        <v>-46</v>
      </c>
    </row>
    <row r="569" spans="1:8" x14ac:dyDescent="0.25">
      <c r="A569">
        <v>-223</v>
      </c>
    </row>
    <row r="570" spans="1:8" x14ac:dyDescent="0.25">
      <c r="A570">
        <v>-481</v>
      </c>
    </row>
    <row r="571" spans="1:8" x14ac:dyDescent="0.25">
      <c r="A571">
        <v>-63</v>
      </c>
    </row>
    <row r="572" spans="1:8" x14ac:dyDescent="0.25">
      <c r="A572">
        <v>-316</v>
      </c>
    </row>
    <row r="574" spans="1:8" x14ac:dyDescent="0.25">
      <c r="A574">
        <v>-15</v>
      </c>
      <c r="B574">
        <v>55</v>
      </c>
      <c r="C574">
        <v>28</v>
      </c>
      <c r="D574">
        <v>12</v>
      </c>
      <c r="E574">
        <v>-42</v>
      </c>
      <c r="F574">
        <v>-42</v>
      </c>
      <c r="G574">
        <v>-54</v>
      </c>
      <c r="H574">
        <v>45</v>
      </c>
    </row>
    <row r="575" spans="1:8" x14ac:dyDescent="0.25">
      <c r="A575">
        <v>12</v>
      </c>
      <c r="B575">
        <v>128</v>
      </c>
      <c r="C575">
        <v>-79</v>
      </c>
      <c r="D575">
        <v>-158</v>
      </c>
      <c r="E575">
        <v>-291</v>
      </c>
      <c r="F575">
        <v>79</v>
      </c>
      <c r="G575">
        <v>-181</v>
      </c>
      <c r="H575">
        <v>-39</v>
      </c>
    </row>
    <row r="576" spans="1:8" x14ac:dyDescent="0.25">
      <c r="A576">
        <v>-24</v>
      </c>
      <c r="B576">
        <v>-704</v>
      </c>
      <c r="C576">
        <v>-70</v>
      </c>
      <c r="D576">
        <v>-753</v>
      </c>
      <c r="E576">
        <v>-228</v>
      </c>
      <c r="F576">
        <v>485</v>
      </c>
      <c r="G576">
        <v>253</v>
      </c>
      <c r="H576">
        <v>0</v>
      </c>
    </row>
    <row r="577" spans="1:8" x14ac:dyDescent="0.25">
      <c r="A577">
        <v>-5</v>
      </c>
      <c r="B577">
        <v>282</v>
      </c>
      <c r="C577">
        <v>-47</v>
      </c>
      <c r="D577">
        <v>134</v>
      </c>
      <c r="E577">
        <v>-205</v>
      </c>
      <c r="F577">
        <v>-315</v>
      </c>
      <c r="G577">
        <v>-160</v>
      </c>
      <c r="H577">
        <v>-40</v>
      </c>
    </row>
    <row r="578" spans="1:8" x14ac:dyDescent="0.25">
      <c r="A578">
        <v>-53</v>
      </c>
      <c r="B578">
        <v>225</v>
      </c>
      <c r="C578">
        <v>-9</v>
      </c>
      <c r="D578">
        <v>140</v>
      </c>
      <c r="E578">
        <v>-173</v>
      </c>
      <c r="F578">
        <v>-283</v>
      </c>
      <c r="G578">
        <v>-119</v>
      </c>
      <c r="H578">
        <v>-7</v>
      </c>
    </row>
    <row r="579" spans="1:8" x14ac:dyDescent="0.25">
      <c r="A579">
        <v>-46</v>
      </c>
      <c r="B579">
        <v>359</v>
      </c>
      <c r="C579">
        <v>-65</v>
      </c>
      <c r="D579">
        <v>245</v>
      </c>
      <c r="E579">
        <v>-149</v>
      </c>
      <c r="F579">
        <v>52</v>
      </c>
      <c r="G579">
        <v>-260</v>
      </c>
      <c r="H579">
        <v>17</v>
      </c>
    </row>
    <row r="580" spans="1:8" x14ac:dyDescent="0.25">
      <c r="A580">
        <v>6</v>
      </c>
      <c r="B580">
        <v>442</v>
      </c>
      <c r="C580">
        <v>-7</v>
      </c>
      <c r="D580">
        <v>256</v>
      </c>
      <c r="E580">
        <v>-304</v>
      </c>
      <c r="F580">
        <v>159</v>
      </c>
      <c r="G580">
        <v>-172</v>
      </c>
      <c r="H580">
        <v>68</v>
      </c>
    </row>
    <row r="581" spans="1:8" x14ac:dyDescent="0.25">
      <c r="A581">
        <v>-50</v>
      </c>
      <c r="B581">
        <v>448</v>
      </c>
      <c r="C581">
        <v>-63</v>
      </c>
      <c r="D581">
        <v>197</v>
      </c>
      <c r="E581">
        <v>-158</v>
      </c>
      <c r="F581">
        <v>-206</v>
      </c>
      <c r="G581">
        <v>-103</v>
      </c>
      <c r="H581">
        <v>-17</v>
      </c>
    </row>
    <row r="582" spans="1:8" x14ac:dyDescent="0.25">
      <c r="A582">
        <v>-27</v>
      </c>
    </row>
    <row r="583" spans="1:8" x14ac:dyDescent="0.25">
      <c r="A583">
        <v>-211</v>
      </c>
    </row>
    <row r="584" spans="1:8" x14ac:dyDescent="0.25">
      <c r="A584">
        <v>-117</v>
      </c>
    </row>
    <row r="585" spans="1:8" x14ac:dyDescent="0.25">
      <c r="A585">
        <v>-497</v>
      </c>
    </row>
    <row r="586" spans="1:8" x14ac:dyDescent="0.25">
      <c r="A586">
        <v>-434</v>
      </c>
    </row>
    <row r="587" spans="1:8" x14ac:dyDescent="0.25">
      <c r="A587">
        <v>494</v>
      </c>
    </row>
    <row r="588" spans="1:8" x14ac:dyDescent="0.25">
      <c r="A588">
        <v>68</v>
      </c>
    </row>
    <row r="589" spans="1:8" x14ac:dyDescent="0.25">
      <c r="A589">
        <v>-20</v>
      </c>
    </row>
    <row r="590" spans="1:8" x14ac:dyDescent="0.25">
      <c r="A590">
        <v>-81</v>
      </c>
    </row>
    <row r="591" spans="1:8" x14ac:dyDescent="0.25">
      <c r="A591">
        <v>-14</v>
      </c>
    </row>
    <row r="592" spans="1:8" x14ac:dyDescent="0.25">
      <c r="A592">
        <v>-1</v>
      </c>
    </row>
    <row r="593" spans="1:8" x14ac:dyDescent="0.25">
      <c r="A593">
        <v>779</v>
      </c>
    </row>
    <row r="594" spans="1:8" x14ac:dyDescent="0.25">
      <c r="A594">
        <v>-172</v>
      </c>
    </row>
    <row r="595" spans="1:8" x14ac:dyDescent="0.25">
      <c r="A595">
        <v>-344</v>
      </c>
    </row>
    <row r="596" spans="1:8" x14ac:dyDescent="0.25">
      <c r="A596">
        <v>261</v>
      </c>
    </row>
    <row r="597" spans="1:8" x14ac:dyDescent="0.25">
      <c r="A597">
        <v>-63</v>
      </c>
    </row>
    <row r="598" spans="1:8" x14ac:dyDescent="0.25">
      <c r="A598">
        <v>-1045</v>
      </c>
    </row>
    <row r="600" spans="1:8" x14ac:dyDescent="0.25">
      <c r="A600">
        <v>-15</v>
      </c>
      <c r="B600">
        <v>55</v>
      </c>
      <c r="C600">
        <v>28</v>
      </c>
      <c r="D600">
        <v>12</v>
      </c>
      <c r="E600">
        <v>-42</v>
      </c>
      <c r="F600">
        <v>-42</v>
      </c>
      <c r="G600">
        <v>-54</v>
      </c>
      <c r="H600">
        <v>45</v>
      </c>
    </row>
    <row r="601" spans="1:8" x14ac:dyDescent="0.25">
      <c r="A601">
        <v>12</v>
      </c>
      <c r="B601">
        <v>356</v>
      </c>
      <c r="C601">
        <v>-71</v>
      </c>
      <c r="D601">
        <v>61</v>
      </c>
      <c r="E601">
        <v>-159</v>
      </c>
      <c r="F601">
        <v>-8</v>
      </c>
      <c r="G601">
        <v>63</v>
      </c>
      <c r="H601">
        <v>-39</v>
      </c>
    </row>
    <row r="602" spans="1:8" x14ac:dyDescent="0.25">
      <c r="A602">
        <v>-24</v>
      </c>
      <c r="B602">
        <v>401</v>
      </c>
      <c r="C602">
        <v>-51</v>
      </c>
      <c r="D602">
        <v>21</v>
      </c>
      <c r="E602">
        <v>-128</v>
      </c>
      <c r="F602">
        <v>-156</v>
      </c>
      <c r="G602">
        <v>63</v>
      </c>
      <c r="H602">
        <v>-6</v>
      </c>
    </row>
    <row r="603" spans="1:8" x14ac:dyDescent="0.25">
      <c r="A603">
        <v>-5</v>
      </c>
      <c r="B603">
        <v>-452</v>
      </c>
      <c r="C603">
        <v>-45</v>
      </c>
      <c r="D603">
        <v>-312</v>
      </c>
      <c r="E603">
        <v>-119</v>
      </c>
      <c r="F603">
        <v>150</v>
      </c>
      <c r="G603">
        <v>334</v>
      </c>
      <c r="H603">
        <v>-40</v>
      </c>
    </row>
    <row r="604" spans="1:8" x14ac:dyDescent="0.25">
      <c r="A604">
        <v>-53</v>
      </c>
      <c r="B604">
        <v>348</v>
      </c>
      <c r="C604">
        <v>11</v>
      </c>
      <c r="D604">
        <v>108</v>
      </c>
      <c r="E604">
        <v>-100</v>
      </c>
      <c r="F604">
        <v>-302</v>
      </c>
      <c r="G604">
        <v>164</v>
      </c>
      <c r="H604">
        <v>-7</v>
      </c>
    </row>
    <row r="605" spans="1:8" x14ac:dyDescent="0.25">
      <c r="A605">
        <v>-46</v>
      </c>
      <c r="B605">
        <v>396</v>
      </c>
      <c r="C605">
        <v>-63</v>
      </c>
      <c r="D605">
        <v>115</v>
      </c>
      <c r="E605">
        <v>-91</v>
      </c>
      <c r="F605">
        <v>15</v>
      </c>
      <c r="G605">
        <v>107</v>
      </c>
      <c r="H605">
        <v>13</v>
      </c>
    </row>
    <row r="606" spans="1:8" x14ac:dyDescent="0.25">
      <c r="A606">
        <v>6</v>
      </c>
      <c r="B606">
        <v>-325</v>
      </c>
      <c r="C606">
        <v>14</v>
      </c>
      <c r="D606">
        <v>-263</v>
      </c>
      <c r="E606">
        <v>-160</v>
      </c>
      <c r="F606">
        <v>536</v>
      </c>
      <c r="G606">
        <v>297</v>
      </c>
      <c r="H606">
        <v>62</v>
      </c>
    </row>
    <row r="607" spans="1:8" x14ac:dyDescent="0.25">
      <c r="A607">
        <v>-50</v>
      </c>
      <c r="B607">
        <v>-317</v>
      </c>
      <c r="C607">
        <v>-61</v>
      </c>
      <c r="D607">
        <v>-305</v>
      </c>
      <c r="E607">
        <v>-94</v>
      </c>
      <c r="F607">
        <v>245</v>
      </c>
      <c r="G607">
        <v>354</v>
      </c>
      <c r="H607">
        <v>-18</v>
      </c>
    </row>
    <row r="608" spans="1:8" x14ac:dyDescent="0.25">
      <c r="A608">
        <v>-27</v>
      </c>
    </row>
    <row r="609" spans="1:1" x14ac:dyDescent="0.25">
      <c r="A609">
        <v>-33</v>
      </c>
    </row>
    <row r="610" spans="1:1" x14ac:dyDescent="0.25">
      <c r="A610">
        <v>-94</v>
      </c>
    </row>
    <row r="611" spans="1:1" x14ac:dyDescent="0.25">
      <c r="A611">
        <v>-200</v>
      </c>
    </row>
    <row r="612" spans="1:1" x14ac:dyDescent="0.25">
      <c r="A612">
        <v>-277</v>
      </c>
    </row>
    <row r="613" spans="1:1" x14ac:dyDescent="0.25">
      <c r="A613">
        <v>335</v>
      </c>
    </row>
    <row r="614" spans="1:1" x14ac:dyDescent="0.25">
      <c r="A614">
        <v>518</v>
      </c>
    </row>
    <row r="615" spans="1:1" x14ac:dyDescent="0.25">
      <c r="A615">
        <v>-26</v>
      </c>
    </row>
    <row r="616" spans="1:1" x14ac:dyDescent="0.25">
      <c r="A616">
        <v>-81</v>
      </c>
    </row>
    <row r="617" spans="1:1" x14ac:dyDescent="0.25">
      <c r="A617">
        <v>659</v>
      </c>
    </row>
    <row r="618" spans="1:1" x14ac:dyDescent="0.25">
      <c r="A618">
        <v>9</v>
      </c>
    </row>
    <row r="619" spans="1:1" x14ac:dyDescent="0.25">
      <c r="A619">
        <v>295</v>
      </c>
    </row>
    <row r="620" spans="1:1" x14ac:dyDescent="0.25">
      <c r="A620">
        <v>-73</v>
      </c>
    </row>
    <row r="621" spans="1:1" x14ac:dyDescent="0.25">
      <c r="A621">
        <v>-441</v>
      </c>
    </row>
    <row r="622" spans="1:1" x14ac:dyDescent="0.25">
      <c r="A622">
        <v>-913</v>
      </c>
    </row>
    <row r="623" spans="1:1" x14ac:dyDescent="0.25">
      <c r="A623">
        <v>-63</v>
      </c>
    </row>
    <row r="624" spans="1:1" x14ac:dyDescent="0.25">
      <c r="A624">
        <v>-510</v>
      </c>
    </row>
    <row r="626" spans="1:8" x14ac:dyDescent="0.25">
      <c r="A626">
        <v>-15</v>
      </c>
      <c r="B626">
        <v>55</v>
      </c>
      <c r="C626">
        <v>28</v>
      </c>
      <c r="D626">
        <v>12</v>
      </c>
      <c r="E626">
        <v>-42</v>
      </c>
      <c r="F626">
        <v>-42</v>
      </c>
      <c r="G626">
        <v>-54</v>
      </c>
      <c r="H626">
        <v>45</v>
      </c>
    </row>
    <row r="627" spans="1:8" x14ac:dyDescent="0.25">
      <c r="A627">
        <v>12</v>
      </c>
      <c r="B627">
        <v>-298</v>
      </c>
      <c r="C627">
        <v>-65</v>
      </c>
      <c r="D627">
        <v>22</v>
      </c>
      <c r="E627">
        <v>-59</v>
      </c>
      <c r="F627">
        <v>216</v>
      </c>
      <c r="G627">
        <v>92</v>
      </c>
      <c r="H627">
        <v>-39</v>
      </c>
    </row>
    <row r="628" spans="1:8" x14ac:dyDescent="0.25">
      <c r="A628">
        <v>-24</v>
      </c>
      <c r="B628">
        <v>231</v>
      </c>
      <c r="C628">
        <v>-28</v>
      </c>
      <c r="D628">
        <v>-161</v>
      </c>
      <c r="E628">
        <v>-59</v>
      </c>
      <c r="F628">
        <v>127</v>
      </c>
      <c r="G628">
        <v>-128</v>
      </c>
      <c r="H628">
        <v>-10</v>
      </c>
    </row>
    <row r="629" spans="1:8" x14ac:dyDescent="0.25">
      <c r="A629">
        <v>-5</v>
      </c>
      <c r="B629">
        <v>356</v>
      </c>
      <c r="C629">
        <v>-41</v>
      </c>
      <c r="D629">
        <v>-129</v>
      </c>
      <c r="E629">
        <v>-54</v>
      </c>
      <c r="F629">
        <v>-56</v>
      </c>
      <c r="G629">
        <v>-110</v>
      </c>
      <c r="H629">
        <v>-40</v>
      </c>
    </row>
    <row r="630" spans="1:8" x14ac:dyDescent="0.25">
      <c r="A630">
        <v>-53</v>
      </c>
      <c r="B630">
        <v>-285</v>
      </c>
      <c r="C630">
        <v>36</v>
      </c>
      <c r="D630">
        <v>20</v>
      </c>
      <c r="E630">
        <v>-66</v>
      </c>
      <c r="F630">
        <v>136</v>
      </c>
      <c r="G630">
        <v>162</v>
      </c>
      <c r="H630">
        <v>-7</v>
      </c>
    </row>
    <row r="631" spans="1:8" x14ac:dyDescent="0.25">
      <c r="A631">
        <v>-46</v>
      </c>
      <c r="B631">
        <v>-232</v>
      </c>
      <c r="C631">
        <v>-59</v>
      </c>
      <c r="D631">
        <v>15</v>
      </c>
      <c r="E631">
        <v>-63</v>
      </c>
      <c r="F631">
        <v>243</v>
      </c>
      <c r="G631">
        <v>64</v>
      </c>
      <c r="H631">
        <v>8</v>
      </c>
    </row>
    <row r="632" spans="1:8" x14ac:dyDescent="0.25">
      <c r="A632">
        <v>6</v>
      </c>
      <c r="B632">
        <v>-211</v>
      </c>
      <c r="C632">
        <v>37</v>
      </c>
      <c r="D632">
        <v>-14</v>
      </c>
      <c r="E632">
        <v>-53</v>
      </c>
      <c r="F632">
        <v>290</v>
      </c>
      <c r="G632">
        <v>120</v>
      </c>
      <c r="H632">
        <v>57</v>
      </c>
    </row>
    <row r="633" spans="1:8" x14ac:dyDescent="0.25">
      <c r="A633">
        <v>-50</v>
      </c>
      <c r="B633">
        <v>-255</v>
      </c>
      <c r="C633">
        <v>-58</v>
      </c>
      <c r="D633">
        <v>-45</v>
      </c>
      <c r="E633">
        <v>-56</v>
      </c>
      <c r="F633">
        <v>177</v>
      </c>
      <c r="G633">
        <v>182</v>
      </c>
      <c r="H633">
        <v>-18</v>
      </c>
    </row>
    <row r="634" spans="1:8" x14ac:dyDescent="0.25">
      <c r="A634">
        <v>-27</v>
      </c>
    </row>
    <row r="635" spans="1:8" x14ac:dyDescent="0.25">
      <c r="A635">
        <v>92</v>
      </c>
    </row>
    <row r="636" spans="1:8" x14ac:dyDescent="0.25">
      <c r="A636">
        <v>-67</v>
      </c>
    </row>
    <row r="637" spans="1:8" x14ac:dyDescent="0.25">
      <c r="A637">
        <v>-130</v>
      </c>
    </row>
    <row r="638" spans="1:8" x14ac:dyDescent="0.25">
      <c r="A638">
        <v>-166</v>
      </c>
    </row>
    <row r="639" spans="1:8" x14ac:dyDescent="0.25">
      <c r="A639">
        <v>367</v>
      </c>
    </row>
    <row r="640" spans="1:8" x14ac:dyDescent="0.25">
      <c r="A640">
        <v>9</v>
      </c>
    </row>
    <row r="641" spans="1:8" x14ac:dyDescent="0.25">
      <c r="A641">
        <v>-31</v>
      </c>
    </row>
    <row r="642" spans="1:8" x14ac:dyDescent="0.25">
      <c r="A642">
        <v>-81</v>
      </c>
    </row>
    <row r="643" spans="1:8" x14ac:dyDescent="0.25">
      <c r="A643">
        <v>400</v>
      </c>
    </row>
    <row r="644" spans="1:8" x14ac:dyDescent="0.25">
      <c r="A644">
        <v>22</v>
      </c>
    </row>
    <row r="645" spans="1:8" x14ac:dyDescent="0.25">
      <c r="A645">
        <v>-802</v>
      </c>
    </row>
    <row r="646" spans="1:8" x14ac:dyDescent="0.25">
      <c r="A646">
        <v>-19</v>
      </c>
    </row>
    <row r="647" spans="1:8" x14ac:dyDescent="0.25">
      <c r="A647">
        <v>-399</v>
      </c>
    </row>
    <row r="648" spans="1:8" x14ac:dyDescent="0.25">
      <c r="A648">
        <v>-197</v>
      </c>
    </row>
    <row r="649" spans="1:8" x14ac:dyDescent="0.25">
      <c r="A649">
        <v>-63</v>
      </c>
    </row>
    <row r="650" spans="1:8" x14ac:dyDescent="0.25">
      <c r="A650">
        <v>73</v>
      </c>
    </row>
    <row r="652" spans="1:8" x14ac:dyDescent="0.25">
      <c r="A652">
        <v>-15</v>
      </c>
      <c r="B652">
        <v>55</v>
      </c>
      <c r="C652">
        <v>28</v>
      </c>
      <c r="D652">
        <v>12</v>
      </c>
      <c r="E652">
        <v>-42</v>
      </c>
      <c r="F652">
        <v>-42</v>
      </c>
      <c r="G652">
        <v>-54</v>
      </c>
      <c r="H652">
        <v>45</v>
      </c>
    </row>
    <row r="653" spans="1:8" x14ac:dyDescent="0.25">
      <c r="A653">
        <v>12</v>
      </c>
      <c r="B653">
        <v>356</v>
      </c>
      <c r="C653">
        <v>-71</v>
      </c>
      <c r="D653">
        <v>61</v>
      </c>
      <c r="E653">
        <v>-159</v>
      </c>
      <c r="F653">
        <v>-8</v>
      </c>
      <c r="G653">
        <v>63</v>
      </c>
      <c r="H653">
        <v>-39</v>
      </c>
    </row>
    <row r="654" spans="1:8" x14ac:dyDescent="0.25">
      <c r="A654">
        <v>-24</v>
      </c>
      <c r="B654">
        <v>401</v>
      </c>
      <c r="C654">
        <v>-51</v>
      </c>
      <c r="D654">
        <v>21</v>
      </c>
      <c r="E654">
        <v>-128</v>
      </c>
      <c r="F654">
        <v>-156</v>
      </c>
      <c r="G654">
        <v>63</v>
      </c>
      <c r="H654">
        <v>-6</v>
      </c>
    </row>
    <row r="655" spans="1:8" x14ac:dyDescent="0.25">
      <c r="A655">
        <v>-5</v>
      </c>
      <c r="B655">
        <v>-452</v>
      </c>
      <c r="C655">
        <v>-45</v>
      </c>
      <c r="D655">
        <v>-312</v>
      </c>
      <c r="E655">
        <v>-119</v>
      </c>
      <c r="F655">
        <v>150</v>
      </c>
      <c r="G655">
        <v>334</v>
      </c>
      <c r="H655">
        <v>-40</v>
      </c>
    </row>
    <row r="656" spans="1:8" x14ac:dyDescent="0.25">
      <c r="A656">
        <v>-53</v>
      </c>
      <c r="B656">
        <v>348</v>
      </c>
      <c r="C656">
        <v>11</v>
      </c>
      <c r="D656">
        <v>108</v>
      </c>
      <c r="E656">
        <v>-100</v>
      </c>
      <c r="F656">
        <v>-302</v>
      </c>
      <c r="G656">
        <v>164</v>
      </c>
      <c r="H656">
        <v>-7</v>
      </c>
    </row>
    <row r="657" spans="1:8" x14ac:dyDescent="0.25">
      <c r="A657">
        <v>-46</v>
      </c>
      <c r="B657">
        <v>396</v>
      </c>
      <c r="C657">
        <v>-63</v>
      </c>
      <c r="D657">
        <v>115</v>
      </c>
      <c r="E657">
        <v>-91</v>
      </c>
      <c r="F657">
        <v>15</v>
      </c>
      <c r="G657">
        <v>107</v>
      </c>
      <c r="H657">
        <v>13</v>
      </c>
    </row>
    <row r="658" spans="1:8" x14ac:dyDescent="0.25">
      <c r="A658">
        <v>6</v>
      </c>
      <c r="B658">
        <v>-325</v>
      </c>
      <c r="C658">
        <v>14</v>
      </c>
      <c r="D658">
        <v>-263</v>
      </c>
      <c r="E658">
        <v>-160</v>
      </c>
      <c r="F658">
        <v>536</v>
      </c>
      <c r="G658">
        <v>297</v>
      </c>
      <c r="H658">
        <v>62</v>
      </c>
    </row>
    <row r="659" spans="1:8" x14ac:dyDescent="0.25">
      <c r="A659">
        <v>-50</v>
      </c>
      <c r="B659">
        <v>-317</v>
      </c>
      <c r="C659">
        <v>-61</v>
      </c>
      <c r="D659">
        <v>-305</v>
      </c>
      <c r="E659">
        <v>-94</v>
      </c>
      <c r="F659">
        <v>245</v>
      </c>
      <c r="G659">
        <v>354</v>
      </c>
      <c r="H659">
        <v>-18</v>
      </c>
    </row>
    <row r="660" spans="1:8" x14ac:dyDescent="0.25">
      <c r="A660">
        <v>-27</v>
      </c>
    </row>
    <row r="661" spans="1:8" x14ac:dyDescent="0.25">
      <c r="A661">
        <v>-33</v>
      </c>
    </row>
    <row r="662" spans="1:8" x14ac:dyDescent="0.25">
      <c r="A662">
        <v>-94</v>
      </c>
    </row>
    <row r="663" spans="1:8" x14ac:dyDescent="0.25">
      <c r="A663">
        <v>-200</v>
      </c>
    </row>
    <row r="664" spans="1:8" x14ac:dyDescent="0.25">
      <c r="A664">
        <v>-277</v>
      </c>
    </row>
    <row r="665" spans="1:8" x14ac:dyDescent="0.25">
      <c r="A665">
        <v>335</v>
      </c>
    </row>
    <row r="666" spans="1:8" x14ac:dyDescent="0.25">
      <c r="A666">
        <v>518</v>
      </c>
    </row>
    <row r="667" spans="1:8" x14ac:dyDescent="0.25">
      <c r="A667">
        <v>-26</v>
      </c>
    </row>
    <row r="668" spans="1:8" x14ac:dyDescent="0.25">
      <c r="A668">
        <v>-81</v>
      </c>
    </row>
    <row r="669" spans="1:8" x14ac:dyDescent="0.25">
      <c r="A669">
        <v>659</v>
      </c>
    </row>
    <row r="670" spans="1:8" x14ac:dyDescent="0.25">
      <c r="A670">
        <v>9</v>
      </c>
    </row>
    <row r="671" spans="1:8" x14ac:dyDescent="0.25">
      <c r="A671">
        <v>295</v>
      </c>
    </row>
    <row r="672" spans="1:8" x14ac:dyDescent="0.25">
      <c r="A672">
        <v>-73</v>
      </c>
    </row>
    <row r="673" spans="1:8" x14ac:dyDescent="0.25">
      <c r="A673">
        <v>-441</v>
      </c>
    </row>
    <row r="674" spans="1:8" x14ac:dyDescent="0.25">
      <c r="A674">
        <v>-913</v>
      </c>
    </row>
    <row r="675" spans="1:8" x14ac:dyDescent="0.25">
      <c r="A675">
        <v>-63</v>
      </c>
    </row>
    <row r="676" spans="1:8" x14ac:dyDescent="0.25">
      <c r="A676">
        <v>-510</v>
      </c>
    </row>
    <row r="678" spans="1:8" x14ac:dyDescent="0.25">
      <c r="A678">
        <v>-15</v>
      </c>
      <c r="B678">
        <v>55</v>
      </c>
      <c r="C678">
        <v>28</v>
      </c>
      <c r="D678">
        <v>12</v>
      </c>
      <c r="E678">
        <v>-42</v>
      </c>
      <c r="F678">
        <v>-42</v>
      </c>
      <c r="G678">
        <v>-54</v>
      </c>
      <c r="H678">
        <v>45</v>
      </c>
    </row>
    <row r="679" spans="1:8" x14ac:dyDescent="0.25">
      <c r="A679">
        <v>12</v>
      </c>
      <c r="B679">
        <v>539</v>
      </c>
      <c r="C679">
        <v>-84</v>
      </c>
      <c r="D679">
        <v>-173</v>
      </c>
      <c r="E679">
        <v>-398</v>
      </c>
      <c r="F679">
        <v>103</v>
      </c>
      <c r="G679">
        <v>-223</v>
      </c>
      <c r="H679">
        <v>-39</v>
      </c>
    </row>
    <row r="680" spans="1:8" x14ac:dyDescent="0.25">
      <c r="A680">
        <v>-24</v>
      </c>
      <c r="B680">
        <v>524</v>
      </c>
      <c r="C680">
        <v>-83</v>
      </c>
      <c r="D680">
        <v>-284</v>
      </c>
      <c r="E680">
        <v>-306</v>
      </c>
      <c r="F680">
        <v>134</v>
      </c>
      <c r="G680">
        <v>-152</v>
      </c>
      <c r="H680">
        <v>2</v>
      </c>
    </row>
    <row r="681" spans="1:8" x14ac:dyDescent="0.25">
      <c r="A681">
        <v>-5</v>
      </c>
      <c r="B681">
        <v>319</v>
      </c>
      <c r="C681">
        <v>-45</v>
      </c>
      <c r="D681">
        <v>-51</v>
      </c>
      <c r="E681">
        <v>-274</v>
      </c>
      <c r="F681">
        <v>128</v>
      </c>
      <c r="G681">
        <v>-189</v>
      </c>
      <c r="H681">
        <v>-40</v>
      </c>
    </row>
    <row r="682" spans="1:8" x14ac:dyDescent="0.25">
      <c r="A682">
        <v>-53</v>
      </c>
      <c r="B682">
        <v>291</v>
      </c>
      <c r="C682">
        <v>-21</v>
      </c>
      <c r="D682">
        <v>-7</v>
      </c>
      <c r="E682">
        <v>-221</v>
      </c>
      <c r="F682">
        <v>98</v>
      </c>
      <c r="G682">
        <v>-125</v>
      </c>
      <c r="H682">
        <v>-7</v>
      </c>
    </row>
    <row r="683" spans="1:8" x14ac:dyDescent="0.25">
      <c r="A683">
        <v>-46</v>
      </c>
      <c r="B683">
        <v>622</v>
      </c>
      <c r="C683">
        <v>-68</v>
      </c>
      <c r="D683">
        <v>4</v>
      </c>
      <c r="E683">
        <v>-188</v>
      </c>
      <c r="F683">
        <v>292</v>
      </c>
      <c r="G683">
        <v>-328</v>
      </c>
      <c r="H683">
        <v>20</v>
      </c>
    </row>
    <row r="684" spans="1:8" x14ac:dyDescent="0.25">
      <c r="A684">
        <v>6</v>
      </c>
      <c r="B684">
        <v>-618</v>
      </c>
      <c r="C684">
        <v>-18</v>
      </c>
      <c r="D684">
        <v>-528</v>
      </c>
      <c r="E684">
        <v>-420</v>
      </c>
      <c r="F684">
        <v>725</v>
      </c>
      <c r="G684">
        <v>352</v>
      </c>
      <c r="H684">
        <v>70</v>
      </c>
    </row>
    <row r="685" spans="1:8" x14ac:dyDescent="0.25">
      <c r="A685">
        <v>-50</v>
      </c>
      <c r="B685">
        <v>666</v>
      </c>
      <c r="C685">
        <v>-66</v>
      </c>
      <c r="D685">
        <v>-54</v>
      </c>
      <c r="E685">
        <v>-205</v>
      </c>
      <c r="F685">
        <v>165</v>
      </c>
      <c r="G685">
        <v>-102</v>
      </c>
      <c r="H685">
        <v>-18</v>
      </c>
    </row>
    <row r="686" spans="1:8" x14ac:dyDescent="0.25">
      <c r="A686">
        <v>-27</v>
      </c>
    </row>
    <row r="687" spans="1:8" x14ac:dyDescent="0.25">
      <c r="A687">
        <v>-596</v>
      </c>
    </row>
    <row r="688" spans="1:8" x14ac:dyDescent="0.25">
      <c r="A688">
        <v>-131</v>
      </c>
    </row>
    <row r="689" spans="1:1" x14ac:dyDescent="0.25">
      <c r="A689">
        <v>-521</v>
      </c>
    </row>
    <row r="690" spans="1:1" x14ac:dyDescent="0.25">
      <c r="A690">
        <v>-557</v>
      </c>
    </row>
    <row r="691" spans="1:1" x14ac:dyDescent="0.25">
      <c r="A691">
        <v>1203</v>
      </c>
    </row>
    <row r="692" spans="1:1" x14ac:dyDescent="0.25">
      <c r="A692">
        <v>142</v>
      </c>
    </row>
    <row r="693" spans="1:1" x14ac:dyDescent="0.25">
      <c r="A693">
        <v>-18</v>
      </c>
    </row>
    <row r="694" spans="1:1" x14ac:dyDescent="0.25">
      <c r="A694">
        <v>-81</v>
      </c>
    </row>
    <row r="695" spans="1:1" x14ac:dyDescent="0.25">
      <c r="A695">
        <v>980</v>
      </c>
    </row>
    <row r="696" spans="1:1" x14ac:dyDescent="0.25">
      <c r="A696">
        <v>-9</v>
      </c>
    </row>
    <row r="697" spans="1:1" x14ac:dyDescent="0.25">
      <c r="A697">
        <v>-593</v>
      </c>
    </row>
    <row r="698" spans="1:1" x14ac:dyDescent="0.25">
      <c r="A698">
        <v>-242</v>
      </c>
    </row>
    <row r="699" spans="1:1" x14ac:dyDescent="0.25">
      <c r="A699">
        <v>-975</v>
      </c>
    </row>
    <row r="700" spans="1:1" x14ac:dyDescent="0.25">
      <c r="A700">
        <v>-557</v>
      </c>
    </row>
    <row r="701" spans="1:1" x14ac:dyDescent="0.25">
      <c r="A701">
        <v>-63</v>
      </c>
    </row>
    <row r="702" spans="1:1" x14ac:dyDescent="0.25">
      <c r="A702">
        <v>-1326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C1:Z537"/>
  <sheetViews>
    <sheetView zoomScaleNormal="100" workbookViewId="0">
      <selection activeCell="C31" sqref="C31"/>
    </sheetView>
  </sheetViews>
  <sheetFormatPr defaultColWidth="8.5703125" defaultRowHeight="15" x14ac:dyDescent="0.25"/>
  <sheetData>
    <row r="1" spans="3:26" x14ac:dyDescent="0.25">
      <c r="Z1" t="e">
        <f ca="1">--(SUM(H10,H30,H50,H70,H90,H110,H130,H150,H170,H190,H210,H230,H250,H270,H290,H310,H330,H350,H370,H390,H410,H430,H450,H470,H490,H510,H530)=27)</f>
        <v>#NAME?</v>
      </c>
    </row>
    <row r="10" spans="3:26" x14ac:dyDescent="0.25">
      <c r="C10" t="e">
        <f ca="1">MAX(0,(SUMPRODUCT(BITS!B2:B9,WEIGHTS!A2:A9)+WEIGHTS!A10)/100)</f>
        <v>#NAME?</v>
      </c>
      <c r="H10" t="e">
        <f ca="1">--((SUMPRODUCT(C10:C17,WEIGHTS!A18:A25)+WEIGHTS!A26)/100&gt;0)</f>
        <v>#NAME?</v>
      </c>
    </row>
    <row r="11" spans="3:26" x14ac:dyDescent="0.25">
      <c r="C11" t="e">
        <f ca="1">MAX(0,(SUMPRODUCT(BITS!B2:B9,WEIGHTS!B2:B9)+WEIGHTS!A11)/100)</f>
        <v>#NAME?</v>
      </c>
    </row>
    <row r="12" spans="3:26" x14ac:dyDescent="0.25">
      <c r="C12" t="e">
        <f ca="1">MAX(0,(SUMPRODUCT(BITS!B2:B9,WEIGHTS!C2:C9)+WEIGHTS!A12)/100)</f>
        <v>#NAME?</v>
      </c>
    </row>
    <row r="13" spans="3:26" x14ac:dyDescent="0.25">
      <c r="C13" t="e">
        <f ca="1">MAX(0,(SUMPRODUCT(BITS!B2:B9,WEIGHTS!D2:D9)+WEIGHTS!A13)/100)</f>
        <v>#NAME?</v>
      </c>
    </row>
    <row r="14" spans="3:26" x14ac:dyDescent="0.25">
      <c r="C14" t="e">
        <f ca="1">MAX(0,(SUMPRODUCT(BITS!B2:B9,WEIGHTS!E2:E9)+WEIGHTS!A14)/100)</f>
        <v>#NAME?</v>
      </c>
    </row>
    <row r="15" spans="3:26" x14ac:dyDescent="0.25">
      <c r="C15" t="e">
        <f ca="1">MAX(0,(SUMPRODUCT(BITS!B2:B9,WEIGHTS!F2:F9)+WEIGHTS!A15)/100)</f>
        <v>#NAME?</v>
      </c>
    </row>
    <row r="16" spans="3:26" x14ac:dyDescent="0.25">
      <c r="C16" t="e">
        <f ca="1">MAX(0,(SUMPRODUCT(BITS!B2:B9,WEIGHTS!G2:G9)+WEIGHTS!A16)/100)</f>
        <v>#NAME?</v>
      </c>
    </row>
    <row r="17" spans="3:8" x14ac:dyDescent="0.25">
      <c r="C17" t="e">
        <f ca="1">MAX(0,(SUMPRODUCT(BITS!B2:B9,WEIGHTS!H2:H9)+WEIGHTS!A17)/100)</f>
        <v>#NAME?</v>
      </c>
    </row>
    <row r="30" spans="3:8" x14ac:dyDescent="0.25">
      <c r="C30" t="e">
        <f ca="1">MAX(0,(SUMPRODUCT(BITS!B10:B17,WEIGHTS!A28:A35)+WEIGHTS!A36)/100)</f>
        <v>#NAME?</v>
      </c>
      <c r="H30" t="e">
        <f ca="1">--((SUMPRODUCT(C30:C37,WEIGHTS!A44:A51)+WEIGHTS!A52)/100&gt;0)</f>
        <v>#NAME?</v>
      </c>
    </row>
    <row r="31" spans="3:8" x14ac:dyDescent="0.25">
      <c r="C31" t="e">
        <f ca="1">MAX(0,(SUMPRODUCT(BITS!B10:B17,WEIGHTS!B28:B35)+WEIGHTS!A37)/100)</f>
        <v>#NAME?</v>
      </c>
    </row>
    <row r="32" spans="3:8" x14ac:dyDescent="0.25">
      <c r="C32" t="e">
        <f ca="1">MAX(0,(SUMPRODUCT(BITS!B10:B17,WEIGHTS!C28:C35)+WEIGHTS!A38)/100)</f>
        <v>#NAME?</v>
      </c>
    </row>
    <row r="33" spans="3:3" x14ac:dyDescent="0.25">
      <c r="C33" t="e">
        <f ca="1">MAX(0,(SUMPRODUCT(BITS!B10:B17,WEIGHTS!D28:D35)+WEIGHTS!A39)/100)</f>
        <v>#NAME?</v>
      </c>
    </row>
    <row r="34" spans="3:3" x14ac:dyDescent="0.25">
      <c r="C34" t="e">
        <f ca="1">MAX(0,(SUMPRODUCT(BITS!B10:B17,WEIGHTS!E28:E35)+WEIGHTS!A40)/100)</f>
        <v>#NAME?</v>
      </c>
    </row>
    <row r="35" spans="3:3" x14ac:dyDescent="0.25">
      <c r="C35" t="e">
        <f ca="1">MAX(0,(SUMPRODUCT(BITS!B10:B17,WEIGHTS!F28:F35)+WEIGHTS!A41)/100)</f>
        <v>#NAME?</v>
      </c>
    </row>
    <row r="36" spans="3:3" x14ac:dyDescent="0.25">
      <c r="C36" t="e">
        <f ca="1">MAX(0,(SUMPRODUCT(BITS!B10:B17,WEIGHTS!G28:G35)+WEIGHTS!A42)/100)</f>
        <v>#NAME?</v>
      </c>
    </row>
    <row r="37" spans="3:3" x14ac:dyDescent="0.25">
      <c r="C37" t="e">
        <f ca="1">MAX(0,(SUMPRODUCT(BITS!B10:B17,WEIGHTS!H28:H35)+WEIGHTS!A43)/100)</f>
        <v>#NAME?</v>
      </c>
    </row>
    <row r="50" spans="3:8" x14ac:dyDescent="0.25">
      <c r="C50" t="e">
        <f ca="1">MAX(0,(SUMPRODUCT(BITS!B18:B25,WEIGHTS!A54:A61)+WEIGHTS!A62)/100)</f>
        <v>#NAME?</v>
      </c>
      <c r="H50" t="e">
        <f ca="1">--((SUMPRODUCT(C50:C57,WEIGHTS!A70:A77)+WEIGHTS!A78)/100&gt;0)</f>
        <v>#NAME?</v>
      </c>
    </row>
    <row r="51" spans="3:8" x14ac:dyDescent="0.25">
      <c r="C51" t="e">
        <f ca="1">MAX(0,(SUMPRODUCT(BITS!B18:B25,WEIGHTS!B54:B61)+WEIGHTS!A63)/100)</f>
        <v>#NAME?</v>
      </c>
    </row>
    <row r="52" spans="3:8" x14ac:dyDescent="0.25">
      <c r="C52" t="e">
        <f ca="1">MAX(0,(SUMPRODUCT(BITS!B18:B25,WEIGHTS!C54:C61)+WEIGHTS!A64)/100)</f>
        <v>#NAME?</v>
      </c>
    </row>
    <row r="53" spans="3:8" x14ac:dyDescent="0.25">
      <c r="C53" t="e">
        <f ca="1">MAX(0,(SUMPRODUCT(BITS!B18:B25,WEIGHTS!D54:D61)+WEIGHTS!A65)/100)</f>
        <v>#NAME?</v>
      </c>
    </row>
    <row r="54" spans="3:8" x14ac:dyDescent="0.25">
      <c r="C54" t="e">
        <f ca="1">MAX(0,(SUMPRODUCT(BITS!B18:B25,WEIGHTS!E54:E61)+WEIGHTS!A66)/100)</f>
        <v>#NAME?</v>
      </c>
    </row>
    <row r="55" spans="3:8" x14ac:dyDescent="0.25">
      <c r="C55" t="e">
        <f ca="1">MAX(0,(SUMPRODUCT(BITS!B18:B25,WEIGHTS!F54:F61)+WEIGHTS!A67)/100)</f>
        <v>#NAME?</v>
      </c>
    </row>
    <row r="56" spans="3:8" x14ac:dyDescent="0.25">
      <c r="C56" t="e">
        <f ca="1">MAX(0,(SUMPRODUCT(BITS!B18:B25,WEIGHTS!G54:G61)+WEIGHTS!A68)/100)</f>
        <v>#NAME?</v>
      </c>
    </row>
    <row r="57" spans="3:8" x14ac:dyDescent="0.25">
      <c r="C57" t="e">
        <f ca="1">MAX(0,(SUMPRODUCT(BITS!B18:B25,WEIGHTS!H54:H61)+WEIGHTS!A69)/100)</f>
        <v>#NAME?</v>
      </c>
    </row>
    <row r="70" spans="3:8" x14ac:dyDescent="0.25">
      <c r="C70" t="e">
        <f ca="1">MAX(0,(SUMPRODUCT(BITS!B26:B33,WEIGHTS!A80:A87)+WEIGHTS!A88)/100)</f>
        <v>#NAME?</v>
      </c>
      <c r="H70" t="e">
        <f ca="1">--((SUMPRODUCT(C70:C77,WEIGHTS!A96:A103)+WEIGHTS!A104)/100&gt;0)</f>
        <v>#NAME?</v>
      </c>
    </row>
    <row r="71" spans="3:8" x14ac:dyDescent="0.25">
      <c r="C71" t="e">
        <f ca="1">MAX(0,(SUMPRODUCT(BITS!B26:B33,WEIGHTS!B80:B87)+WEIGHTS!A89)/100)</f>
        <v>#NAME?</v>
      </c>
    </row>
    <row r="72" spans="3:8" x14ac:dyDescent="0.25">
      <c r="C72" t="e">
        <f ca="1">MAX(0,(SUMPRODUCT(BITS!B26:B33,WEIGHTS!C80:C87)+WEIGHTS!A90)/100)</f>
        <v>#NAME?</v>
      </c>
    </row>
    <row r="73" spans="3:8" x14ac:dyDescent="0.25">
      <c r="C73" t="e">
        <f ca="1">MAX(0,(SUMPRODUCT(BITS!B26:B33,WEIGHTS!D80:D87)+WEIGHTS!A91)/100)</f>
        <v>#NAME?</v>
      </c>
    </row>
    <row r="74" spans="3:8" x14ac:dyDescent="0.25">
      <c r="C74" t="e">
        <f ca="1">MAX(0,(SUMPRODUCT(BITS!B26:B33,WEIGHTS!E80:E87)+WEIGHTS!A92)/100)</f>
        <v>#NAME?</v>
      </c>
    </row>
    <row r="75" spans="3:8" x14ac:dyDescent="0.25">
      <c r="C75" t="e">
        <f ca="1">MAX(0,(SUMPRODUCT(BITS!B26:B33,WEIGHTS!F80:F87)+WEIGHTS!A93)/100)</f>
        <v>#NAME?</v>
      </c>
    </row>
    <row r="76" spans="3:8" x14ac:dyDescent="0.25">
      <c r="C76" t="e">
        <f ca="1">MAX(0,(SUMPRODUCT(BITS!B26:B33,WEIGHTS!G80:G87)+WEIGHTS!A94)/100)</f>
        <v>#NAME?</v>
      </c>
    </row>
    <row r="77" spans="3:8" x14ac:dyDescent="0.25">
      <c r="C77" t="e">
        <f ca="1">MAX(0,(SUMPRODUCT(BITS!B26:B33,WEIGHTS!H80:H87)+WEIGHTS!A95)/100)</f>
        <v>#NAME?</v>
      </c>
    </row>
    <row r="90" spans="3:8" x14ac:dyDescent="0.25">
      <c r="C90" t="e">
        <f ca="1">MAX(0,(SUMPRODUCT(BITS!B34:B41,WEIGHTS!A106:A113)+WEIGHTS!A114)/100)</f>
        <v>#NAME?</v>
      </c>
      <c r="H90" t="e">
        <f ca="1">--((SUMPRODUCT(C90:C97,WEIGHTS!A122:A129)+WEIGHTS!A130)/100&gt;0)</f>
        <v>#NAME?</v>
      </c>
    </row>
    <row r="91" spans="3:8" x14ac:dyDescent="0.25">
      <c r="C91" t="e">
        <f ca="1">MAX(0,(SUMPRODUCT(BITS!B34:B41,WEIGHTS!B106:B113)+WEIGHTS!A115)/100)</f>
        <v>#NAME?</v>
      </c>
    </row>
    <row r="92" spans="3:8" x14ac:dyDescent="0.25">
      <c r="C92" t="e">
        <f ca="1">MAX(0,(SUMPRODUCT(BITS!B34:B41,WEIGHTS!C106:C113)+WEIGHTS!A116)/100)</f>
        <v>#NAME?</v>
      </c>
    </row>
    <row r="93" spans="3:8" x14ac:dyDescent="0.25">
      <c r="C93" t="e">
        <f ca="1">MAX(0,(SUMPRODUCT(BITS!B34:B41,WEIGHTS!D106:D113)+WEIGHTS!A117)/100)</f>
        <v>#NAME?</v>
      </c>
    </row>
    <row r="94" spans="3:8" x14ac:dyDescent="0.25">
      <c r="C94" t="e">
        <f ca="1">MAX(0,(SUMPRODUCT(BITS!B34:B41,WEIGHTS!E106:E113)+WEIGHTS!A118)/100)</f>
        <v>#NAME?</v>
      </c>
    </row>
    <row r="95" spans="3:8" x14ac:dyDescent="0.25">
      <c r="C95" t="e">
        <f ca="1">MAX(0,(SUMPRODUCT(BITS!B34:B41,WEIGHTS!F106:F113)+WEIGHTS!A119)/100)</f>
        <v>#NAME?</v>
      </c>
    </row>
    <row r="96" spans="3:8" x14ac:dyDescent="0.25">
      <c r="C96" t="e">
        <f ca="1">MAX(0,(SUMPRODUCT(BITS!B34:B41,WEIGHTS!G106:G113)+WEIGHTS!A120)/100)</f>
        <v>#NAME?</v>
      </c>
    </row>
    <row r="97" spans="3:8" x14ac:dyDescent="0.25">
      <c r="C97" t="e">
        <f ca="1">MAX(0,(SUMPRODUCT(BITS!B34:B41,WEIGHTS!H106:H113)+WEIGHTS!A121)/100)</f>
        <v>#NAME?</v>
      </c>
    </row>
    <row r="110" spans="3:8" x14ac:dyDescent="0.25">
      <c r="C110" t="e">
        <f ca="1">MAX(0,(SUMPRODUCT(BITS!B42:B49,WEIGHTS!A132:A139)+WEIGHTS!A140)/100)</f>
        <v>#NAME?</v>
      </c>
      <c r="H110" t="e">
        <f ca="1">--((SUMPRODUCT(C110:C117,WEIGHTS!A148:A155)+WEIGHTS!A156)/100&gt;0)</f>
        <v>#NAME?</v>
      </c>
    </row>
    <row r="111" spans="3:8" x14ac:dyDescent="0.25">
      <c r="C111" t="e">
        <f ca="1">MAX(0,(SUMPRODUCT(BITS!B42:B49,WEIGHTS!B132:B139)+WEIGHTS!A141)/100)</f>
        <v>#NAME?</v>
      </c>
    </row>
    <row r="112" spans="3:8" x14ac:dyDescent="0.25">
      <c r="C112" t="e">
        <f ca="1">MAX(0,(SUMPRODUCT(BITS!B42:B49,WEIGHTS!C132:C139)+WEIGHTS!A142)/100)</f>
        <v>#NAME?</v>
      </c>
    </row>
    <row r="113" spans="3:3" x14ac:dyDescent="0.25">
      <c r="C113" t="e">
        <f ca="1">MAX(0,(SUMPRODUCT(BITS!B42:B49,WEIGHTS!D132:D139)+WEIGHTS!A143)/100)</f>
        <v>#NAME?</v>
      </c>
    </row>
    <row r="114" spans="3:3" x14ac:dyDescent="0.25">
      <c r="C114" t="e">
        <f ca="1">MAX(0,(SUMPRODUCT(BITS!B42:B49,WEIGHTS!E132:E139)+WEIGHTS!A144)/100)</f>
        <v>#NAME?</v>
      </c>
    </row>
    <row r="115" spans="3:3" x14ac:dyDescent="0.25">
      <c r="C115" t="e">
        <f ca="1">MAX(0,(SUMPRODUCT(BITS!B42:B49,WEIGHTS!F132:F139)+WEIGHTS!A145)/100)</f>
        <v>#NAME?</v>
      </c>
    </row>
    <row r="116" spans="3:3" x14ac:dyDescent="0.25">
      <c r="C116" t="e">
        <f ca="1">MAX(0,(SUMPRODUCT(BITS!B42:B49,WEIGHTS!G132:G139)+WEIGHTS!A146)/100)</f>
        <v>#NAME?</v>
      </c>
    </row>
    <row r="117" spans="3:3" x14ac:dyDescent="0.25">
      <c r="C117" t="e">
        <f ca="1">MAX(0,(SUMPRODUCT(BITS!B42:B49,WEIGHTS!H132:H139)+WEIGHTS!A147)/100)</f>
        <v>#NAME?</v>
      </c>
    </row>
    <row r="130" spans="3:8" x14ac:dyDescent="0.25">
      <c r="C130" t="e">
        <f ca="1">MAX(0,(SUMPRODUCT(BITS!B50:B57,WEIGHTS!A158:A165)+WEIGHTS!A166)/100)</f>
        <v>#NAME?</v>
      </c>
      <c r="H130" t="e">
        <f ca="1">--((SUMPRODUCT(C130:C137,WEIGHTS!A174:A181)+WEIGHTS!A182)/100&gt;0)</f>
        <v>#NAME?</v>
      </c>
    </row>
    <row r="131" spans="3:8" x14ac:dyDescent="0.25">
      <c r="C131" t="e">
        <f ca="1">MAX(0,(SUMPRODUCT(BITS!B50:B57,WEIGHTS!B158:B165)+WEIGHTS!A167)/100)</f>
        <v>#NAME?</v>
      </c>
    </row>
    <row r="132" spans="3:8" x14ac:dyDescent="0.25">
      <c r="C132" t="e">
        <f ca="1">MAX(0,(SUMPRODUCT(BITS!B50:B57,WEIGHTS!C158:C165)+WEIGHTS!A168)/100)</f>
        <v>#NAME?</v>
      </c>
    </row>
    <row r="133" spans="3:8" x14ac:dyDescent="0.25">
      <c r="C133" t="e">
        <f ca="1">MAX(0,(SUMPRODUCT(BITS!B50:B57,WEIGHTS!D158:D165)+WEIGHTS!A169)/100)</f>
        <v>#NAME?</v>
      </c>
    </row>
    <row r="134" spans="3:8" x14ac:dyDescent="0.25">
      <c r="C134" t="e">
        <f ca="1">MAX(0,(SUMPRODUCT(BITS!B50:B57,WEIGHTS!E158:E165)+WEIGHTS!A170)/100)</f>
        <v>#NAME?</v>
      </c>
    </row>
    <row r="135" spans="3:8" x14ac:dyDescent="0.25">
      <c r="C135" t="e">
        <f ca="1">MAX(0,(SUMPRODUCT(BITS!B50:B57,WEIGHTS!F158:F165)+WEIGHTS!A171)/100)</f>
        <v>#NAME?</v>
      </c>
    </row>
    <row r="136" spans="3:8" x14ac:dyDescent="0.25">
      <c r="C136" t="e">
        <f ca="1">MAX(0,(SUMPRODUCT(BITS!B50:B57,WEIGHTS!G158:G165)+WEIGHTS!A172)/100)</f>
        <v>#NAME?</v>
      </c>
    </row>
    <row r="137" spans="3:8" x14ac:dyDescent="0.25">
      <c r="C137" t="e">
        <f ca="1">MAX(0,(SUMPRODUCT(BITS!B50:B57,WEIGHTS!H158:H165)+WEIGHTS!A173)/100)</f>
        <v>#NAME?</v>
      </c>
    </row>
    <row r="150" spans="3:8" x14ac:dyDescent="0.25">
      <c r="C150" t="e">
        <f ca="1">MAX(0,(SUMPRODUCT(BITS!B58:B65,WEIGHTS!A184:A191)+WEIGHTS!A192)/100)</f>
        <v>#NAME?</v>
      </c>
      <c r="H150" t="e">
        <f ca="1">--((SUMPRODUCT(C150:C157,WEIGHTS!A200:A207)+WEIGHTS!A208)/100&gt;0)</f>
        <v>#NAME?</v>
      </c>
    </row>
    <row r="151" spans="3:8" x14ac:dyDescent="0.25">
      <c r="C151" t="e">
        <f ca="1">MAX(0,(SUMPRODUCT(BITS!B58:B65,WEIGHTS!B184:B191)+WEIGHTS!A193)/100)</f>
        <v>#NAME?</v>
      </c>
    </row>
    <row r="152" spans="3:8" x14ac:dyDescent="0.25">
      <c r="C152" t="e">
        <f ca="1">MAX(0,(SUMPRODUCT(BITS!B58:B65,WEIGHTS!C184:C191)+WEIGHTS!A194)/100)</f>
        <v>#NAME?</v>
      </c>
    </row>
    <row r="153" spans="3:8" x14ac:dyDescent="0.25">
      <c r="C153" t="e">
        <f ca="1">MAX(0,(SUMPRODUCT(BITS!B58:B65,WEIGHTS!D184:D191)+WEIGHTS!A195)/100)</f>
        <v>#NAME?</v>
      </c>
    </row>
    <row r="154" spans="3:8" x14ac:dyDescent="0.25">
      <c r="C154" t="e">
        <f ca="1">MAX(0,(SUMPRODUCT(BITS!B58:B65,WEIGHTS!E184:E191)+WEIGHTS!A196)/100)</f>
        <v>#NAME?</v>
      </c>
    </row>
    <row r="155" spans="3:8" x14ac:dyDescent="0.25">
      <c r="C155" t="e">
        <f ca="1">MAX(0,(SUMPRODUCT(BITS!B58:B65,WEIGHTS!F184:F191)+WEIGHTS!A197)/100)</f>
        <v>#NAME?</v>
      </c>
    </row>
    <row r="156" spans="3:8" x14ac:dyDescent="0.25">
      <c r="C156" t="e">
        <f ca="1">MAX(0,(SUMPRODUCT(BITS!B58:B65,WEIGHTS!G184:G191)+WEIGHTS!A198)/100)</f>
        <v>#NAME?</v>
      </c>
    </row>
    <row r="157" spans="3:8" x14ac:dyDescent="0.25">
      <c r="C157" t="e">
        <f ca="1">MAX(0,(SUMPRODUCT(BITS!B58:B65,WEIGHTS!H184:H191)+WEIGHTS!A199)/100)</f>
        <v>#NAME?</v>
      </c>
    </row>
    <row r="170" spans="3:8" x14ac:dyDescent="0.25">
      <c r="C170" t="e">
        <f ca="1">MAX(0,(SUMPRODUCT(BITS!B66:B73,WEIGHTS!A210:A217)+WEIGHTS!A218)/100)</f>
        <v>#NAME?</v>
      </c>
      <c r="H170" t="e">
        <f ca="1">--((SUMPRODUCT(C170:C177,WEIGHTS!A226:A233)+WEIGHTS!A234)/100&gt;0)</f>
        <v>#NAME?</v>
      </c>
    </row>
    <row r="171" spans="3:8" x14ac:dyDescent="0.25">
      <c r="C171" t="e">
        <f ca="1">MAX(0,(SUMPRODUCT(BITS!B66:B73,WEIGHTS!B210:B217)+WEIGHTS!A219)/100)</f>
        <v>#NAME?</v>
      </c>
    </row>
    <row r="172" spans="3:8" x14ac:dyDescent="0.25">
      <c r="C172" t="e">
        <f ca="1">MAX(0,(SUMPRODUCT(BITS!B66:B73,WEIGHTS!C210:C217)+WEIGHTS!A220)/100)</f>
        <v>#NAME?</v>
      </c>
    </row>
    <row r="173" spans="3:8" x14ac:dyDescent="0.25">
      <c r="C173" t="e">
        <f ca="1">MAX(0,(SUMPRODUCT(BITS!B66:B73,WEIGHTS!D210:D217)+WEIGHTS!A221)/100)</f>
        <v>#NAME?</v>
      </c>
    </row>
    <row r="174" spans="3:8" x14ac:dyDescent="0.25">
      <c r="C174" t="e">
        <f ca="1">MAX(0,(SUMPRODUCT(BITS!B66:B73,WEIGHTS!E210:E217)+WEIGHTS!A222)/100)</f>
        <v>#NAME?</v>
      </c>
    </row>
    <row r="175" spans="3:8" x14ac:dyDescent="0.25">
      <c r="C175" t="e">
        <f ca="1">MAX(0,(SUMPRODUCT(BITS!B66:B73,WEIGHTS!F210:F217)+WEIGHTS!A223)/100)</f>
        <v>#NAME?</v>
      </c>
    </row>
    <row r="176" spans="3:8" x14ac:dyDescent="0.25">
      <c r="C176" t="e">
        <f ca="1">MAX(0,(SUMPRODUCT(BITS!B66:B73,WEIGHTS!G210:G217)+WEIGHTS!A224)/100)</f>
        <v>#NAME?</v>
      </c>
    </row>
    <row r="177" spans="3:8" x14ac:dyDescent="0.25">
      <c r="C177" t="e">
        <f ca="1">MAX(0,(SUMPRODUCT(BITS!B66:B73,WEIGHTS!H210:H217)+WEIGHTS!A225)/100)</f>
        <v>#NAME?</v>
      </c>
    </row>
    <row r="190" spans="3:8" x14ac:dyDescent="0.25">
      <c r="C190" t="e">
        <f ca="1">MAX(0,(SUMPRODUCT(BITS!B74:B81,WEIGHTS!A236:A243)+WEIGHTS!A244)/100)</f>
        <v>#NAME?</v>
      </c>
      <c r="H190" t="e">
        <f ca="1">--((SUMPRODUCT(C190:C197,WEIGHTS!A252:A259)+WEIGHTS!A260)/100&gt;0)</f>
        <v>#NAME?</v>
      </c>
    </row>
    <row r="191" spans="3:8" x14ac:dyDescent="0.25">
      <c r="C191" t="e">
        <f ca="1">MAX(0,(SUMPRODUCT(BITS!B74:B81,WEIGHTS!B236:B243)+WEIGHTS!A245)/100)</f>
        <v>#NAME?</v>
      </c>
    </row>
    <row r="192" spans="3:8" x14ac:dyDescent="0.25">
      <c r="C192" t="e">
        <f ca="1">MAX(0,(SUMPRODUCT(BITS!B74:B81,WEIGHTS!C236:C243)+WEIGHTS!A246)/100)</f>
        <v>#NAME?</v>
      </c>
    </row>
    <row r="193" spans="3:3" x14ac:dyDescent="0.25">
      <c r="C193" t="e">
        <f ca="1">MAX(0,(SUMPRODUCT(BITS!B74:B81,WEIGHTS!D236:D243)+WEIGHTS!A247)/100)</f>
        <v>#NAME?</v>
      </c>
    </row>
    <row r="194" spans="3:3" x14ac:dyDescent="0.25">
      <c r="C194" t="e">
        <f ca="1">MAX(0,(SUMPRODUCT(BITS!B74:B81,WEIGHTS!E236:E243)+WEIGHTS!A248)/100)</f>
        <v>#NAME?</v>
      </c>
    </row>
    <row r="195" spans="3:3" x14ac:dyDescent="0.25">
      <c r="C195" t="e">
        <f ca="1">MAX(0,(SUMPRODUCT(BITS!B74:B81,WEIGHTS!F236:F243)+WEIGHTS!A249)/100)</f>
        <v>#NAME?</v>
      </c>
    </row>
    <row r="196" spans="3:3" x14ac:dyDescent="0.25">
      <c r="C196" t="e">
        <f ca="1">MAX(0,(SUMPRODUCT(BITS!B74:B81,WEIGHTS!G236:G243)+WEIGHTS!A250)/100)</f>
        <v>#NAME?</v>
      </c>
    </row>
    <row r="197" spans="3:3" x14ac:dyDescent="0.25">
      <c r="C197" t="e">
        <f ca="1">MAX(0,(SUMPRODUCT(BITS!B74:B81,WEIGHTS!H236:H243)+WEIGHTS!A251)/100)</f>
        <v>#NAME?</v>
      </c>
    </row>
    <row r="210" spans="3:8" x14ac:dyDescent="0.25">
      <c r="C210" t="e">
        <f ca="1">MAX(0,(SUMPRODUCT(BITS!B82:B89,WEIGHTS!A262:A269)+WEIGHTS!A270)/100)</f>
        <v>#NAME?</v>
      </c>
      <c r="H210" t="e">
        <f ca="1">--((SUMPRODUCT(C210:C217,WEIGHTS!A278:A285)+WEIGHTS!A286)/100&gt;0)</f>
        <v>#NAME?</v>
      </c>
    </row>
    <row r="211" spans="3:8" x14ac:dyDescent="0.25">
      <c r="C211" t="e">
        <f ca="1">MAX(0,(SUMPRODUCT(BITS!B82:B89,WEIGHTS!B262:B269)+WEIGHTS!A271)/100)</f>
        <v>#NAME?</v>
      </c>
    </row>
    <row r="212" spans="3:8" x14ac:dyDescent="0.25">
      <c r="C212" t="e">
        <f ca="1">MAX(0,(SUMPRODUCT(BITS!B82:B89,WEIGHTS!C262:C269)+WEIGHTS!A272)/100)</f>
        <v>#NAME?</v>
      </c>
    </row>
    <row r="213" spans="3:8" x14ac:dyDescent="0.25">
      <c r="C213" t="e">
        <f ca="1">MAX(0,(SUMPRODUCT(BITS!B82:B89,WEIGHTS!D262:D269)+WEIGHTS!A273)/100)</f>
        <v>#NAME?</v>
      </c>
    </row>
    <row r="214" spans="3:8" x14ac:dyDescent="0.25">
      <c r="C214" t="e">
        <f ca="1">MAX(0,(SUMPRODUCT(BITS!B82:B89,WEIGHTS!E262:E269)+WEIGHTS!A274)/100)</f>
        <v>#NAME?</v>
      </c>
    </row>
    <row r="215" spans="3:8" x14ac:dyDescent="0.25">
      <c r="C215" t="e">
        <f ca="1">MAX(0,(SUMPRODUCT(BITS!B82:B89,WEIGHTS!F262:F269)+WEIGHTS!A275)/100)</f>
        <v>#NAME?</v>
      </c>
    </row>
    <row r="216" spans="3:8" x14ac:dyDescent="0.25">
      <c r="C216" t="e">
        <f ca="1">MAX(0,(SUMPRODUCT(BITS!B82:B89,WEIGHTS!G262:G269)+WEIGHTS!A276)/100)</f>
        <v>#NAME?</v>
      </c>
    </row>
    <row r="217" spans="3:8" x14ac:dyDescent="0.25">
      <c r="C217" t="e">
        <f ca="1">MAX(0,(SUMPRODUCT(BITS!B82:B89,WEIGHTS!H262:H269)+WEIGHTS!A277)/100)</f>
        <v>#NAME?</v>
      </c>
    </row>
    <row r="230" spans="3:8" x14ac:dyDescent="0.25">
      <c r="C230" t="e">
        <f ca="1">MAX(0,(SUMPRODUCT(BITS!B90:B97,WEIGHTS!A288:A295)+WEIGHTS!A296)/100)</f>
        <v>#NAME?</v>
      </c>
      <c r="H230" t="e">
        <f ca="1">--((SUMPRODUCT(C230:C237,WEIGHTS!A304:A311)+WEIGHTS!A312)/100&gt;0)</f>
        <v>#NAME?</v>
      </c>
    </row>
    <row r="231" spans="3:8" x14ac:dyDescent="0.25">
      <c r="C231" t="e">
        <f ca="1">MAX(0,(SUMPRODUCT(BITS!B90:B97,WEIGHTS!B288:B295)+WEIGHTS!A297)/100)</f>
        <v>#NAME?</v>
      </c>
    </row>
    <row r="232" spans="3:8" x14ac:dyDescent="0.25">
      <c r="C232" t="e">
        <f ca="1">MAX(0,(SUMPRODUCT(BITS!B90:B97,WEIGHTS!C288:C295)+WEIGHTS!A298)/100)</f>
        <v>#NAME?</v>
      </c>
    </row>
    <row r="233" spans="3:8" x14ac:dyDescent="0.25">
      <c r="C233" t="e">
        <f ca="1">MAX(0,(SUMPRODUCT(BITS!B90:B97,WEIGHTS!D288:D295)+WEIGHTS!A299)/100)</f>
        <v>#NAME?</v>
      </c>
    </row>
    <row r="234" spans="3:8" x14ac:dyDescent="0.25">
      <c r="C234" t="e">
        <f ca="1">MAX(0,(SUMPRODUCT(BITS!B90:B97,WEIGHTS!E288:E295)+WEIGHTS!A300)/100)</f>
        <v>#NAME?</v>
      </c>
    </row>
    <row r="235" spans="3:8" x14ac:dyDescent="0.25">
      <c r="C235" t="e">
        <f ca="1">MAX(0,(SUMPRODUCT(BITS!B90:B97,WEIGHTS!F288:F295)+WEIGHTS!A301)/100)</f>
        <v>#NAME?</v>
      </c>
    </row>
    <row r="236" spans="3:8" x14ac:dyDescent="0.25">
      <c r="C236" t="e">
        <f ca="1">MAX(0,(SUMPRODUCT(BITS!B90:B97,WEIGHTS!G288:G295)+WEIGHTS!A302)/100)</f>
        <v>#NAME?</v>
      </c>
    </row>
    <row r="237" spans="3:8" x14ac:dyDescent="0.25">
      <c r="C237" t="e">
        <f ca="1">MAX(0,(SUMPRODUCT(BITS!B90:B97,WEIGHTS!H288:H295)+WEIGHTS!A303)/100)</f>
        <v>#NAME?</v>
      </c>
    </row>
    <row r="250" spans="3:8" x14ac:dyDescent="0.25">
      <c r="C250" t="e">
        <f ca="1">MAX(0,(SUMPRODUCT(BITS!B98:B105,WEIGHTS!A314:A321)+WEIGHTS!A322)/100)</f>
        <v>#NAME?</v>
      </c>
      <c r="H250" t="e">
        <f ca="1">--((SUMPRODUCT(C250:C257,WEIGHTS!A330:A337)+WEIGHTS!A338)/100&gt;0)</f>
        <v>#NAME?</v>
      </c>
    </row>
    <row r="251" spans="3:8" x14ac:dyDescent="0.25">
      <c r="C251" t="e">
        <f ca="1">MAX(0,(SUMPRODUCT(BITS!B98:B105,WEIGHTS!B314:B321)+WEIGHTS!A323)/100)</f>
        <v>#NAME?</v>
      </c>
    </row>
    <row r="252" spans="3:8" x14ac:dyDescent="0.25">
      <c r="C252" t="e">
        <f ca="1">MAX(0,(SUMPRODUCT(BITS!B98:B105,WEIGHTS!C314:C321)+WEIGHTS!A324)/100)</f>
        <v>#NAME?</v>
      </c>
    </row>
    <row r="253" spans="3:8" x14ac:dyDescent="0.25">
      <c r="C253" t="e">
        <f ca="1">MAX(0,(SUMPRODUCT(BITS!B98:B105,WEIGHTS!D314:D321)+WEIGHTS!A325)/100)</f>
        <v>#NAME?</v>
      </c>
    </row>
    <row r="254" spans="3:8" x14ac:dyDescent="0.25">
      <c r="C254" t="e">
        <f ca="1">MAX(0,(SUMPRODUCT(BITS!B98:B105,WEIGHTS!E314:E321)+WEIGHTS!A326)/100)</f>
        <v>#NAME?</v>
      </c>
    </row>
    <row r="255" spans="3:8" x14ac:dyDescent="0.25">
      <c r="C255" t="e">
        <f ca="1">MAX(0,(SUMPRODUCT(BITS!B98:B105,WEIGHTS!F314:F321)+WEIGHTS!A327)/100)</f>
        <v>#NAME?</v>
      </c>
    </row>
    <row r="256" spans="3:8" x14ac:dyDescent="0.25">
      <c r="C256" t="e">
        <f ca="1">MAX(0,(SUMPRODUCT(BITS!B98:B105,WEIGHTS!G314:G321)+WEIGHTS!A328)/100)</f>
        <v>#NAME?</v>
      </c>
    </row>
    <row r="257" spans="3:8" x14ac:dyDescent="0.25">
      <c r="C257" t="e">
        <f ca="1">MAX(0,(SUMPRODUCT(BITS!B98:B105,WEIGHTS!H314:H321)+WEIGHTS!A329)/100)</f>
        <v>#NAME?</v>
      </c>
    </row>
    <row r="270" spans="3:8" x14ac:dyDescent="0.25">
      <c r="C270" t="e">
        <f ca="1">MAX(0,(SUMPRODUCT(BITS!B106:B113,WEIGHTS!A340:A347)+WEIGHTS!A348)/100)</f>
        <v>#NAME?</v>
      </c>
      <c r="H270" t="e">
        <f ca="1">--((SUMPRODUCT(C270:C277,WEIGHTS!A356:A363)+WEIGHTS!A364)/100&gt;0)</f>
        <v>#NAME?</v>
      </c>
    </row>
    <row r="271" spans="3:8" x14ac:dyDescent="0.25">
      <c r="C271" t="e">
        <f ca="1">MAX(0,(SUMPRODUCT(BITS!B106:B113,WEIGHTS!B340:B347)+WEIGHTS!A349)/100)</f>
        <v>#NAME?</v>
      </c>
    </row>
    <row r="272" spans="3:8" x14ac:dyDescent="0.25">
      <c r="C272" t="e">
        <f ca="1">MAX(0,(SUMPRODUCT(BITS!B106:B113,WEIGHTS!C340:C347)+WEIGHTS!A350)/100)</f>
        <v>#NAME?</v>
      </c>
    </row>
    <row r="273" spans="3:3" x14ac:dyDescent="0.25">
      <c r="C273" t="e">
        <f ca="1">MAX(0,(SUMPRODUCT(BITS!B106:B113,WEIGHTS!D340:D347)+WEIGHTS!A351)/100)</f>
        <v>#NAME?</v>
      </c>
    </row>
    <row r="274" spans="3:3" x14ac:dyDescent="0.25">
      <c r="C274" t="e">
        <f ca="1">MAX(0,(SUMPRODUCT(BITS!B106:B113,WEIGHTS!E340:E347)+WEIGHTS!A352)/100)</f>
        <v>#NAME?</v>
      </c>
    </row>
    <row r="275" spans="3:3" x14ac:dyDescent="0.25">
      <c r="C275" t="e">
        <f ca="1">MAX(0,(SUMPRODUCT(BITS!B106:B113,WEIGHTS!F340:F347)+WEIGHTS!A353)/100)</f>
        <v>#NAME?</v>
      </c>
    </row>
    <row r="276" spans="3:3" x14ac:dyDescent="0.25">
      <c r="C276" t="e">
        <f ca="1">MAX(0,(SUMPRODUCT(BITS!B106:B113,WEIGHTS!G340:G347)+WEIGHTS!A354)/100)</f>
        <v>#NAME?</v>
      </c>
    </row>
    <row r="277" spans="3:3" x14ac:dyDescent="0.25">
      <c r="C277" t="e">
        <f ca="1">MAX(0,(SUMPRODUCT(BITS!B106:B113,WEIGHTS!H340:H347)+WEIGHTS!A355)/100)</f>
        <v>#NAME?</v>
      </c>
    </row>
    <row r="290" spans="3:8" x14ac:dyDescent="0.25">
      <c r="C290" t="e">
        <f ca="1">MAX(0,(SUMPRODUCT(BITS!B114:B121,WEIGHTS!A366:A373)+WEIGHTS!A374)/100)</f>
        <v>#NAME?</v>
      </c>
      <c r="H290" t="e">
        <f ca="1">--((SUMPRODUCT(C290:C297,WEIGHTS!A382:A389)+WEIGHTS!A390)/100&gt;0)</f>
        <v>#NAME?</v>
      </c>
    </row>
    <row r="291" spans="3:8" x14ac:dyDescent="0.25">
      <c r="C291" t="e">
        <f ca="1">MAX(0,(SUMPRODUCT(BITS!B114:B121,WEIGHTS!B366:B373)+WEIGHTS!A375)/100)</f>
        <v>#NAME?</v>
      </c>
    </row>
    <row r="292" spans="3:8" x14ac:dyDescent="0.25">
      <c r="C292" t="e">
        <f ca="1">MAX(0,(SUMPRODUCT(BITS!B114:B121,WEIGHTS!C366:C373)+WEIGHTS!A376)/100)</f>
        <v>#NAME?</v>
      </c>
    </row>
    <row r="293" spans="3:8" x14ac:dyDescent="0.25">
      <c r="C293" t="e">
        <f ca="1">MAX(0,(SUMPRODUCT(BITS!B114:B121,WEIGHTS!D366:D373)+WEIGHTS!A377)/100)</f>
        <v>#NAME?</v>
      </c>
    </row>
    <row r="294" spans="3:8" x14ac:dyDescent="0.25">
      <c r="C294" t="e">
        <f ca="1">MAX(0,(SUMPRODUCT(BITS!B114:B121,WEIGHTS!E366:E373)+WEIGHTS!A378)/100)</f>
        <v>#NAME?</v>
      </c>
    </row>
    <row r="295" spans="3:8" x14ac:dyDescent="0.25">
      <c r="C295" t="e">
        <f ca="1">MAX(0,(SUMPRODUCT(BITS!B114:B121,WEIGHTS!F366:F373)+WEIGHTS!A379)/100)</f>
        <v>#NAME?</v>
      </c>
    </row>
    <row r="296" spans="3:8" x14ac:dyDescent="0.25">
      <c r="C296" t="e">
        <f ca="1">MAX(0,(SUMPRODUCT(BITS!B114:B121,WEIGHTS!G366:G373)+WEIGHTS!A380)/100)</f>
        <v>#NAME?</v>
      </c>
    </row>
    <row r="297" spans="3:8" x14ac:dyDescent="0.25">
      <c r="C297" t="e">
        <f ca="1">MAX(0,(SUMPRODUCT(BITS!B114:B121,WEIGHTS!H366:H373)+WEIGHTS!A381)/100)</f>
        <v>#NAME?</v>
      </c>
    </row>
    <row r="310" spans="3:8" x14ac:dyDescent="0.25">
      <c r="C310" t="e">
        <f ca="1">MAX(0,(SUMPRODUCT(BITS!B122:B129,WEIGHTS!A392:A399)+WEIGHTS!A400)/100)</f>
        <v>#NAME?</v>
      </c>
      <c r="H310" t="e">
        <f ca="1">--((SUMPRODUCT(C310:C317,WEIGHTS!A408:A415)+WEIGHTS!A416)/100&gt;0)</f>
        <v>#NAME?</v>
      </c>
    </row>
    <row r="311" spans="3:8" x14ac:dyDescent="0.25">
      <c r="C311" t="e">
        <f ca="1">MAX(0,(SUMPRODUCT(BITS!B122:B129,WEIGHTS!B392:B399)+WEIGHTS!A401)/100)</f>
        <v>#NAME?</v>
      </c>
    </row>
    <row r="312" spans="3:8" x14ac:dyDescent="0.25">
      <c r="C312" t="e">
        <f ca="1">MAX(0,(SUMPRODUCT(BITS!B122:B129,WEIGHTS!C392:C399)+WEIGHTS!A402)/100)</f>
        <v>#NAME?</v>
      </c>
    </row>
    <row r="313" spans="3:8" x14ac:dyDescent="0.25">
      <c r="C313" t="e">
        <f ca="1">MAX(0,(SUMPRODUCT(BITS!B122:B129,WEIGHTS!D392:D399)+WEIGHTS!A403)/100)</f>
        <v>#NAME?</v>
      </c>
    </row>
    <row r="314" spans="3:8" x14ac:dyDescent="0.25">
      <c r="C314" t="e">
        <f ca="1">MAX(0,(SUMPRODUCT(BITS!B122:B129,WEIGHTS!E392:E399)+WEIGHTS!A404)/100)</f>
        <v>#NAME?</v>
      </c>
    </row>
    <row r="315" spans="3:8" x14ac:dyDescent="0.25">
      <c r="C315" t="e">
        <f ca="1">MAX(0,(SUMPRODUCT(BITS!B122:B129,WEIGHTS!F392:F399)+WEIGHTS!A405)/100)</f>
        <v>#NAME?</v>
      </c>
    </row>
    <row r="316" spans="3:8" x14ac:dyDescent="0.25">
      <c r="C316" t="e">
        <f ca="1">MAX(0,(SUMPRODUCT(BITS!B122:B129,WEIGHTS!G392:G399)+WEIGHTS!A406)/100)</f>
        <v>#NAME?</v>
      </c>
    </row>
    <row r="317" spans="3:8" x14ac:dyDescent="0.25">
      <c r="C317" t="e">
        <f ca="1">MAX(0,(SUMPRODUCT(BITS!B122:B129,WEIGHTS!H392:H399)+WEIGHTS!A407)/100)</f>
        <v>#NAME?</v>
      </c>
    </row>
    <row r="330" spans="3:8" x14ac:dyDescent="0.25">
      <c r="C330" t="e">
        <f ca="1">MAX(0,(SUMPRODUCT(BITS!B130:B137,WEIGHTS!A418:A425)+WEIGHTS!A426)/100)</f>
        <v>#NAME?</v>
      </c>
      <c r="H330" t="e">
        <f ca="1">--((SUMPRODUCT(C330:C337,WEIGHTS!A434:A441)+WEIGHTS!A442)/100&gt;0)</f>
        <v>#NAME?</v>
      </c>
    </row>
    <row r="331" spans="3:8" x14ac:dyDescent="0.25">
      <c r="C331" t="e">
        <f ca="1">MAX(0,(SUMPRODUCT(BITS!B130:B137,WEIGHTS!B418:B425)+WEIGHTS!A427)/100)</f>
        <v>#NAME?</v>
      </c>
    </row>
    <row r="332" spans="3:8" x14ac:dyDescent="0.25">
      <c r="C332" t="e">
        <f ca="1">MAX(0,(SUMPRODUCT(BITS!B130:B137,WEIGHTS!C418:C425)+WEIGHTS!A428)/100)</f>
        <v>#NAME?</v>
      </c>
    </row>
    <row r="333" spans="3:8" x14ac:dyDescent="0.25">
      <c r="C333" t="e">
        <f ca="1">MAX(0,(SUMPRODUCT(BITS!B130:B137,WEIGHTS!D418:D425)+WEIGHTS!A429)/100)</f>
        <v>#NAME?</v>
      </c>
    </row>
    <row r="334" spans="3:8" x14ac:dyDescent="0.25">
      <c r="C334" t="e">
        <f ca="1">MAX(0,(SUMPRODUCT(BITS!B130:B137,WEIGHTS!E418:E425)+WEIGHTS!A430)/100)</f>
        <v>#NAME?</v>
      </c>
    </row>
    <row r="335" spans="3:8" x14ac:dyDescent="0.25">
      <c r="C335" t="e">
        <f ca="1">MAX(0,(SUMPRODUCT(BITS!B130:B137,WEIGHTS!F418:F425)+WEIGHTS!A431)/100)</f>
        <v>#NAME?</v>
      </c>
    </row>
    <row r="336" spans="3:8" x14ac:dyDescent="0.25">
      <c r="C336" t="e">
        <f ca="1">MAX(0,(SUMPRODUCT(BITS!B130:B137,WEIGHTS!G418:G425)+WEIGHTS!A432)/100)</f>
        <v>#NAME?</v>
      </c>
    </row>
    <row r="337" spans="3:8" x14ac:dyDescent="0.25">
      <c r="C337" t="e">
        <f ca="1">MAX(0,(SUMPRODUCT(BITS!B130:B137,WEIGHTS!H418:H425)+WEIGHTS!A433)/100)</f>
        <v>#NAME?</v>
      </c>
    </row>
    <row r="350" spans="3:8" x14ac:dyDescent="0.25">
      <c r="C350" t="e">
        <f ca="1">MAX(0,(SUMPRODUCT(BITS!B138:B145,WEIGHTS!A444:A451)+WEIGHTS!A452)/100)</f>
        <v>#NAME?</v>
      </c>
      <c r="H350" t="e">
        <f ca="1">--((SUMPRODUCT(C350:C357,WEIGHTS!A460:A467)+WEIGHTS!A468)/100&gt;0)</f>
        <v>#NAME?</v>
      </c>
    </row>
    <row r="351" spans="3:8" x14ac:dyDescent="0.25">
      <c r="C351" t="e">
        <f ca="1">MAX(0,(SUMPRODUCT(BITS!B138:B145,WEIGHTS!B444:B451)+WEIGHTS!A453)/100)</f>
        <v>#NAME?</v>
      </c>
    </row>
    <row r="352" spans="3:8" x14ac:dyDescent="0.25">
      <c r="C352" t="e">
        <f ca="1">MAX(0,(SUMPRODUCT(BITS!B138:B145,WEIGHTS!C444:C451)+WEIGHTS!A454)/100)</f>
        <v>#NAME?</v>
      </c>
    </row>
    <row r="353" spans="3:3" x14ac:dyDescent="0.25">
      <c r="C353" t="e">
        <f ca="1">MAX(0,(SUMPRODUCT(BITS!B138:B145,WEIGHTS!D444:D451)+WEIGHTS!A455)/100)</f>
        <v>#NAME?</v>
      </c>
    </row>
    <row r="354" spans="3:3" x14ac:dyDescent="0.25">
      <c r="C354" t="e">
        <f ca="1">MAX(0,(SUMPRODUCT(BITS!B138:B145,WEIGHTS!E444:E451)+WEIGHTS!A456)/100)</f>
        <v>#NAME?</v>
      </c>
    </row>
    <row r="355" spans="3:3" x14ac:dyDescent="0.25">
      <c r="C355" t="e">
        <f ca="1">MAX(0,(SUMPRODUCT(BITS!B138:B145,WEIGHTS!F444:F451)+WEIGHTS!A457)/100)</f>
        <v>#NAME?</v>
      </c>
    </row>
    <row r="356" spans="3:3" x14ac:dyDescent="0.25">
      <c r="C356" t="e">
        <f ca="1">MAX(0,(SUMPRODUCT(BITS!B138:B145,WEIGHTS!G444:G451)+WEIGHTS!A458)/100)</f>
        <v>#NAME?</v>
      </c>
    </row>
    <row r="357" spans="3:3" x14ac:dyDescent="0.25">
      <c r="C357" t="e">
        <f ca="1">MAX(0,(SUMPRODUCT(BITS!B138:B145,WEIGHTS!H444:H451)+WEIGHTS!A459)/100)</f>
        <v>#NAME?</v>
      </c>
    </row>
    <row r="370" spans="3:8" x14ac:dyDescent="0.25">
      <c r="C370" t="e">
        <f ca="1">MAX(0,(SUMPRODUCT(BITS!B146:B153,WEIGHTS!A470:A477)+WEIGHTS!A478)/100)</f>
        <v>#NAME?</v>
      </c>
      <c r="H370" t="e">
        <f ca="1">--((SUMPRODUCT(C370:C377,WEIGHTS!A486:A493)+WEIGHTS!A494)/100&gt;0)</f>
        <v>#NAME?</v>
      </c>
    </row>
    <row r="371" spans="3:8" x14ac:dyDescent="0.25">
      <c r="C371" t="e">
        <f ca="1">MAX(0,(SUMPRODUCT(BITS!B146:B153,WEIGHTS!B470:B477)+WEIGHTS!A479)/100)</f>
        <v>#NAME?</v>
      </c>
    </row>
    <row r="372" spans="3:8" x14ac:dyDescent="0.25">
      <c r="C372" t="e">
        <f ca="1">MAX(0,(SUMPRODUCT(BITS!B146:B153,WEIGHTS!C470:C477)+WEIGHTS!A480)/100)</f>
        <v>#NAME?</v>
      </c>
    </row>
    <row r="373" spans="3:8" x14ac:dyDescent="0.25">
      <c r="C373" t="e">
        <f ca="1">MAX(0,(SUMPRODUCT(BITS!B146:B153,WEIGHTS!D470:D477)+WEIGHTS!A481)/100)</f>
        <v>#NAME?</v>
      </c>
    </row>
    <row r="374" spans="3:8" x14ac:dyDescent="0.25">
      <c r="C374" t="e">
        <f ca="1">MAX(0,(SUMPRODUCT(BITS!B146:B153,WEIGHTS!E470:E477)+WEIGHTS!A482)/100)</f>
        <v>#NAME?</v>
      </c>
    </row>
    <row r="375" spans="3:8" x14ac:dyDescent="0.25">
      <c r="C375" t="e">
        <f ca="1">MAX(0,(SUMPRODUCT(BITS!B146:B153,WEIGHTS!F470:F477)+WEIGHTS!A483)/100)</f>
        <v>#NAME?</v>
      </c>
    </row>
    <row r="376" spans="3:8" x14ac:dyDescent="0.25">
      <c r="C376" t="e">
        <f ca="1">MAX(0,(SUMPRODUCT(BITS!B146:B153,WEIGHTS!G470:G477)+WEIGHTS!A484)/100)</f>
        <v>#NAME?</v>
      </c>
    </row>
    <row r="377" spans="3:8" x14ac:dyDescent="0.25">
      <c r="C377" t="e">
        <f ca="1">MAX(0,(SUMPRODUCT(BITS!B146:B153,WEIGHTS!H470:H477)+WEIGHTS!A485)/100)</f>
        <v>#NAME?</v>
      </c>
    </row>
    <row r="390" spans="3:8" x14ac:dyDescent="0.25">
      <c r="C390" t="e">
        <f ca="1">MAX(0,(SUMPRODUCT(BITS!B154:B161,WEIGHTS!A496:A503)+WEIGHTS!A504)/100)</f>
        <v>#NAME?</v>
      </c>
      <c r="H390" t="e">
        <f ca="1">--((SUMPRODUCT(C390:C397,WEIGHTS!A512:A519)+WEIGHTS!A520)/100&gt;0)</f>
        <v>#NAME?</v>
      </c>
    </row>
    <row r="391" spans="3:8" x14ac:dyDescent="0.25">
      <c r="C391" t="e">
        <f ca="1">MAX(0,(SUMPRODUCT(BITS!B154:B161,WEIGHTS!B496:B503)+WEIGHTS!A505)/100)</f>
        <v>#NAME?</v>
      </c>
    </row>
    <row r="392" spans="3:8" x14ac:dyDescent="0.25">
      <c r="C392" t="e">
        <f ca="1">MAX(0,(SUMPRODUCT(BITS!B154:B161,WEIGHTS!C496:C503)+WEIGHTS!A506)/100)</f>
        <v>#NAME?</v>
      </c>
    </row>
    <row r="393" spans="3:8" x14ac:dyDescent="0.25">
      <c r="C393" t="e">
        <f ca="1">MAX(0,(SUMPRODUCT(BITS!B154:B161,WEIGHTS!D496:D503)+WEIGHTS!A507)/100)</f>
        <v>#NAME?</v>
      </c>
    </row>
    <row r="394" spans="3:8" x14ac:dyDescent="0.25">
      <c r="C394" t="e">
        <f ca="1">MAX(0,(SUMPRODUCT(BITS!B154:B161,WEIGHTS!E496:E503)+WEIGHTS!A508)/100)</f>
        <v>#NAME?</v>
      </c>
    </row>
    <row r="395" spans="3:8" x14ac:dyDescent="0.25">
      <c r="C395" t="e">
        <f ca="1">MAX(0,(SUMPRODUCT(BITS!B154:B161,WEIGHTS!F496:F503)+WEIGHTS!A509)/100)</f>
        <v>#NAME?</v>
      </c>
    </row>
    <row r="396" spans="3:8" x14ac:dyDescent="0.25">
      <c r="C396" t="e">
        <f ca="1">MAX(0,(SUMPRODUCT(BITS!B154:B161,WEIGHTS!G496:G503)+WEIGHTS!A510)/100)</f>
        <v>#NAME?</v>
      </c>
    </row>
    <row r="397" spans="3:8" x14ac:dyDescent="0.25">
      <c r="C397" t="e">
        <f ca="1">MAX(0,(SUMPRODUCT(BITS!B154:B161,WEIGHTS!H496:H503)+WEIGHTS!A511)/100)</f>
        <v>#NAME?</v>
      </c>
    </row>
    <row r="410" spans="3:8" x14ac:dyDescent="0.25">
      <c r="C410" t="e">
        <f ca="1">MAX(0,(SUMPRODUCT(BITS!B162:B169,WEIGHTS!A522:A529)+WEIGHTS!A530)/100)</f>
        <v>#NAME?</v>
      </c>
      <c r="H410" t="e">
        <f ca="1">--((SUMPRODUCT(C410:C417,WEIGHTS!A538:A545)+WEIGHTS!A546)/100&gt;0)</f>
        <v>#NAME?</v>
      </c>
    </row>
    <row r="411" spans="3:8" x14ac:dyDescent="0.25">
      <c r="C411" t="e">
        <f ca="1">MAX(0,(SUMPRODUCT(BITS!B162:B169,WEIGHTS!B522:B529)+WEIGHTS!A531)/100)</f>
        <v>#NAME?</v>
      </c>
    </row>
    <row r="412" spans="3:8" x14ac:dyDescent="0.25">
      <c r="C412" t="e">
        <f ca="1">MAX(0,(SUMPRODUCT(BITS!B162:B169,WEIGHTS!C522:C529)+WEIGHTS!A532)/100)</f>
        <v>#NAME?</v>
      </c>
    </row>
    <row r="413" spans="3:8" x14ac:dyDescent="0.25">
      <c r="C413" t="e">
        <f ca="1">MAX(0,(SUMPRODUCT(BITS!B162:B169,WEIGHTS!D522:D529)+WEIGHTS!A533)/100)</f>
        <v>#NAME?</v>
      </c>
    </row>
    <row r="414" spans="3:8" x14ac:dyDescent="0.25">
      <c r="C414" t="e">
        <f ca="1">MAX(0,(SUMPRODUCT(BITS!B162:B169,WEIGHTS!E522:E529)+WEIGHTS!A534)/100)</f>
        <v>#NAME?</v>
      </c>
    </row>
    <row r="415" spans="3:8" x14ac:dyDescent="0.25">
      <c r="C415" t="e">
        <f ca="1">MAX(0,(SUMPRODUCT(BITS!B162:B169,WEIGHTS!F522:F529)+WEIGHTS!A535)/100)</f>
        <v>#NAME?</v>
      </c>
    </row>
    <row r="416" spans="3:8" x14ac:dyDescent="0.25">
      <c r="C416" t="e">
        <f ca="1">MAX(0,(SUMPRODUCT(BITS!B162:B169,WEIGHTS!G522:G529)+WEIGHTS!A536)/100)</f>
        <v>#NAME?</v>
      </c>
    </row>
    <row r="417" spans="3:8" x14ac:dyDescent="0.25">
      <c r="C417" t="e">
        <f ca="1">MAX(0,(SUMPRODUCT(BITS!B162:B169,WEIGHTS!H522:H529)+WEIGHTS!A537)/100)</f>
        <v>#NAME?</v>
      </c>
    </row>
    <row r="430" spans="3:8" x14ac:dyDescent="0.25">
      <c r="C430" t="e">
        <f ca="1">MAX(0,(SUMPRODUCT(BITS!B170:B177,WEIGHTS!A548:A555)+WEIGHTS!A556)/100)</f>
        <v>#NAME?</v>
      </c>
      <c r="H430" t="e">
        <f ca="1">--((SUMPRODUCT(C430:C437,WEIGHTS!A564:A571)+WEIGHTS!A572)/100&gt;0)</f>
        <v>#NAME?</v>
      </c>
    </row>
    <row r="431" spans="3:8" x14ac:dyDescent="0.25">
      <c r="C431" t="e">
        <f ca="1">MAX(0,(SUMPRODUCT(BITS!B170:B177,WEIGHTS!B548:B555)+WEIGHTS!A557)/100)</f>
        <v>#NAME?</v>
      </c>
    </row>
    <row r="432" spans="3:8" x14ac:dyDescent="0.25">
      <c r="C432" t="e">
        <f ca="1">MAX(0,(SUMPRODUCT(BITS!B170:B177,WEIGHTS!C548:C555)+WEIGHTS!A558)/100)</f>
        <v>#NAME?</v>
      </c>
    </row>
    <row r="433" spans="3:3" x14ac:dyDescent="0.25">
      <c r="C433" t="e">
        <f ca="1">MAX(0,(SUMPRODUCT(BITS!B170:B177,WEIGHTS!D548:D555)+WEIGHTS!A559)/100)</f>
        <v>#NAME?</v>
      </c>
    </row>
    <row r="434" spans="3:3" x14ac:dyDescent="0.25">
      <c r="C434" t="e">
        <f ca="1">MAX(0,(SUMPRODUCT(BITS!B170:B177,WEIGHTS!E548:E555)+WEIGHTS!A560)/100)</f>
        <v>#NAME?</v>
      </c>
    </row>
    <row r="435" spans="3:3" x14ac:dyDescent="0.25">
      <c r="C435" t="e">
        <f ca="1">MAX(0,(SUMPRODUCT(BITS!B170:B177,WEIGHTS!F548:F555)+WEIGHTS!A561)/100)</f>
        <v>#NAME?</v>
      </c>
    </row>
    <row r="436" spans="3:3" x14ac:dyDescent="0.25">
      <c r="C436" t="e">
        <f ca="1">MAX(0,(SUMPRODUCT(BITS!B170:B177,WEIGHTS!G548:G555)+WEIGHTS!A562)/100)</f>
        <v>#NAME?</v>
      </c>
    </row>
    <row r="437" spans="3:3" x14ac:dyDescent="0.25">
      <c r="C437" t="e">
        <f ca="1">MAX(0,(SUMPRODUCT(BITS!B170:B177,WEIGHTS!H548:H555)+WEIGHTS!A563)/100)</f>
        <v>#NAME?</v>
      </c>
    </row>
    <row r="450" spans="3:8" x14ac:dyDescent="0.25">
      <c r="C450" t="e">
        <f ca="1">MAX(0,(SUMPRODUCT(BITS!B178:B185,WEIGHTS!A574:A581)+WEIGHTS!A582)/100)</f>
        <v>#NAME?</v>
      </c>
      <c r="H450" t="e">
        <f ca="1">--((SUMPRODUCT(C450:C457,WEIGHTS!A590:A597)+WEIGHTS!A598)/100&gt;0)</f>
        <v>#NAME?</v>
      </c>
    </row>
    <row r="451" spans="3:8" x14ac:dyDescent="0.25">
      <c r="C451" t="e">
        <f ca="1">MAX(0,(SUMPRODUCT(BITS!B178:B185,WEIGHTS!B574:B581)+WEIGHTS!A583)/100)</f>
        <v>#NAME?</v>
      </c>
    </row>
    <row r="452" spans="3:8" x14ac:dyDescent="0.25">
      <c r="C452" t="e">
        <f ca="1">MAX(0,(SUMPRODUCT(BITS!B178:B185,WEIGHTS!C574:C581)+WEIGHTS!A584)/100)</f>
        <v>#NAME?</v>
      </c>
    </row>
    <row r="453" spans="3:8" x14ac:dyDescent="0.25">
      <c r="C453" t="e">
        <f ca="1">MAX(0,(SUMPRODUCT(BITS!B178:B185,WEIGHTS!D574:D581)+WEIGHTS!A585)/100)</f>
        <v>#NAME?</v>
      </c>
    </row>
    <row r="454" spans="3:8" x14ac:dyDescent="0.25">
      <c r="C454" t="e">
        <f ca="1">MAX(0,(SUMPRODUCT(BITS!B178:B185,WEIGHTS!E574:E581)+WEIGHTS!A586)/100)</f>
        <v>#NAME?</v>
      </c>
    </row>
    <row r="455" spans="3:8" x14ac:dyDescent="0.25">
      <c r="C455" t="e">
        <f ca="1">MAX(0,(SUMPRODUCT(BITS!B178:B185,WEIGHTS!F574:F581)+WEIGHTS!A587)/100)</f>
        <v>#NAME?</v>
      </c>
    </row>
    <row r="456" spans="3:8" x14ac:dyDescent="0.25">
      <c r="C456" t="e">
        <f ca="1">MAX(0,(SUMPRODUCT(BITS!B178:B185,WEIGHTS!G574:G581)+WEIGHTS!A588)/100)</f>
        <v>#NAME?</v>
      </c>
    </row>
    <row r="457" spans="3:8" x14ac:dyDescent="0.25">
      <c r="C457" t="e">
        <f ca="1">MAX(0,(SUMPRODUCT(BITS!B178:B185,WEIGHTS!H574:H581)+WEIGHTS!A589)/100)</f>
        <v>#NAME?</v>
      </c>
    </row>
    <row r="470" spans="3:8" x14ac:dyDescent="0.25">
      <c r="C470" t="e">
        <f ca="1">MAX(0,(SUMPRODUCT(BITS!B186:B193,WEIGHTS!A600:A607)+WEIGHTS!A608)/100)</f>
        <v>#NAME?</v>
      </c>
      <c r="H470" t="e">
        <f ca="1">--((SUMPRODUCT(C470:C477,WEIGHTS!A616:A623)+WEIGHTS!A624)/100&gt;0)</f>
        <v>#NAME?</v>
      </c>
    </row>
    <row r="471" spans="3:8" x14ac:dyDescent="0.25">
      <c r="C471" t="e">
        <f ca="1">MAX(0,(SUMPRODUCT(BITS!B186:B193,WEIGHTS!B600:B607)+WEIGHTS!A609)/100)</f>
        <v>#NAME?</v>
      </c>
    </row>
    <row r="472" spans="3:8" x14ac:dyDescent="0.25">
      <c r="C472" t="e">
        <f ca="1">MAX(0,(SUMPRODUCT(BITS!B186:B193,WEIGHTS!C600:C607)+WEIGHTS!A610)/100)</f>
        <v>#NAME?</v>
      </c>
    </row>
    <row r="473" spans="3:8" x14ac:dyDescent="0.25">
      <c r="C473" t="e">
        <f ca="1">MAX(0,(SUMPRODUCT(BITS!B186:B193,WEIGHTS!D600:D607)+WEIGHTS!A611)/100)</f>
        <v>#NAME?</v>
      </c>
    </row>
    <row r="474" spans="3:8" x14ac:dyDescent="0.25">
      <c r="C474" t="e">
        <f ca="1">MAX(0,(SUMPRODUCT(BITS!B186:B193,WEIGHTS!E600:E607)+WEIGHTS!A612)/100)</f>
        <v>#NAME?</v>
      </c>
    </row>
    <row r="475" spans="3:8" x14ac:dyDescent="0.25">
      <c r="C475" t="e">
        <f ca="1">MAX(0,(SUMPRODUCT(BITS!B186:B193,WEIGHTS!F600:F607)+WEIGHTS!A613)/100)</f>
        <v>#NAME?</v>
      </c>
    </row>
    <row r="476" spans="3:8" x14ac:dyDescent="0.25">
      <c r="C476" t="e">
        <f ca="1">MAX(0,(SUMPRODUCT(BITS!B186:B193,WEIGHTS!G600:G607)+WEIGHTS!A614)/100)</f>
        <v>#NAME?</v>
      </c>
    </row>
    <row r="477" spans="3:8" x14ac:dyDescent="0.25">
      <c r="C477" t="e">
        <f ca="1">MAX(0,(SUMPRODUCT(BITS!B186:B193,WEIGHTS!H600:H607)+WEIGHTS!A615)/100)</f>
        <v>#NAME?</v>
      </c>
    </row>
    <row r="490" spans="3:8" x14ac:dyDescent="0.25">
      <c r="C490" t="e">
        <f ca="1">MAX(0,(SUMPRODUCT(BITS!B194:B201,WEIGHTS!A626:A633)+WEIGHTS!A634)/100)</f>
        <v>#NAME?</v>
      </c>
      <c r="H490" t="e">
        <f ca="1">--((SUMPRODUCT(C490:C497,WEIGHTS!A642:A649)+WEIGHTS!A650)/100&gt;0)</f>
        <v>#NAME?</v>
      </c>
    </row>
    <row r="491" spans="3:8" x14ac:dyDescent="0.25">
      <c r="C491" t="e">
        <f ca="1">MAX(0,(SUMPRODUCT(BITS!B194:B201,WEIGHTS!B626:B633)+WEIGHTS!A635)/100)</f>
        <v>#NAME?</v>
      </c>
    </row>
    <row r="492" spans="3:8" x14ac:dyDescent="0.25">
      <c r="C492" t="e">
        <f ca="1">MAX(0,(SUMPRODUCT(BITS!B194:B201,WEIGHTS!C626:C633)+WEIGHTS!A636)/100)</f>
        <v>#NAME?</v>
      </c>
    </row>
    <row r="493" spans="3:8" x14ac:dyDescent="0.25">
      <c r="C493" t="e">
        <f ca="1">MAX(0,(SUMPRODUCT(BITS!B194:B201,WEIGHTS!D626:D633)+WEIGHTS!A637)/100)</f>
        <v>#NAME?</v>
      </c>
    </row>
    <row r="494" spans="3:8" x14ac:dyDescent="0.25">
      <c r="C494" t="e">
        <f ca="1">MAX(0,(SUMPRODUCT(BITS!B194:B201,WEIGHTS!E626:E633)+WEIGHTS!A638)/100)</f>
        <v>#NAME?</v>
      </c>
    </row>
    <row r="495" spans="3:8" x14ac:dyDescent="0.25">
      <c r="C495" t="e">
        <f ca="1">MAX(0,(SUMPRODUCT(BITS!B194:B201,WEIGHTS!F626:F633)+WEIGHTS!A639)/100)</f>
        <v>#NAME?</v>
      </c>
    </row>
    <row r="496" spans="3:8" x14ac:dyDescent="0.25">
      <c r="C496" t="e">
        <f ca="1">MAX(0,(SUMPRODUCT(BITS!B194:B201,WEIGHTS!G626:G633)+WEIGHTS!A640)/100)</f>
        <v>#NAME?</v>
      </c>
    </row>
    <row r="497" spans="3:8" x14ac:dyDescent="0.25">
      <c r="C497" t="e">
        <f ca="1">MAX(0,(SUMPRODUCT(BITS!B194:B201,WEIGHTS!H626:H633)+WEIGHTS!A641)/100)</f>
        <v>#NAME?</v>
      </c>
    </row>
    <row r="510" spans="3:8" x14ac:dyDescent="0.25">
      <c r="C510" t="e">
        <f ca="1">MAX(0,(SUMPRODUCT(BITS!B202:B209,WEIGHTS!A652:A659)+WEIGHTS!A660)/100)</f>
        <v>#NAME?</v>
      </c>
      <c r="H510" t="e">
        <f ca="1">--((SUMPRODUCT(C510:C517,WEIGHTS!A668:A675)+WEIGHTS!A676)/100&gt;0)</f>
        <v>#NAME?</v>
      </c>
    </row>
    <row r="511" spans="3:8" x14ac:dyDescent="0.25">
      <c r="C511" t="e">
        <f ca="1">MAX(0,(SUMPRODUCT(BITS!B202:B209,WEIGHTS!B652:B659)+WEIGHTS!A661)/100)</f>
        <v>#NAME?</v>
      </c>
    </row>
    <row r="512" spans="3:8" x14ac:dyDescent="0.25">
      <c r="C512" t="e">
        <f ca="1">MAX(0,(SUMPRODUCT(BITS!B202:B209,WEIGHTS!C652:C659)+WEIGHTS!A662)/100)</f>
        <v>#NAME?</v>
      </c>
    </row>
    <row r="513" spans="3:3" x14ac:dyDescent="0.25">
      <c r="C513" t="e">
        <f ca="1">MAX(0,(SUMPRODUCT(BITS!B202:B209,WEIGHTS!D652:D659)+WEIGHTS!A663)/100)</f>
        <v>#NAME?</v>
      </c>
    </row>
    <row r="514" spans="3:3" x14ac:dyDescent="0.25">
      <c r="C514" t="e">
        <f ca="1">MAX(0,(SUMPRODUCT(BITS!B202:B209,WEIGHTS!E652:E659)+WEIGHTS!A664)/100)</f>
        <v>#NAME?</v>
      </c>
    </row>
    <row r="515" spans="3:3" x14ac:dyDescent="0.25">
      <c r="C515" t="e">
        <f ca="1">MAX(0,(SUMPRODUCT(BITS!B202:B209,WEIGHTS!F652:F659)+WEIGHTS!A665)/100)</f>
        <v>#NAME?</v>
      </c>
    </row>
    <row r="516" spans="3:3" x14ac:dyDescent="0.25">
      <c r="C516" t="e">
        <f ca="1">MAX(0,(SUMPRODUCT(BITS!B202:B209,WEIGHTS!G652:G659)+WEIGHTS!A666)/100)</f>
        <v>#NAME?</v>
      </c>
    </row>
    <row r="517" spans="3:3" x14ac:dyDescent="0.25">
      <c r="C517" t="e">
        <f ca="1">MAX(0,(SUMPRODUCT(BITS!B202:B209,WEIGHTS!H652:H659)+WEIGHTS!A667)/100)</f>
        <v>#NAME?</v>
      </c>
    </row>
    <row r="530" spans="3:8" x14ac:dyDescent="0.25">
      <c r="C530" t="e">
        <f ca="1">MAX(0,(SUMPRODUCT(BITS!B210:B217,WEIGHTS!A678:A685)+WEIGHTS!A686)/100)</f>
        <v>#NAME?</v>
      </c>
      <c r="H530" t="e">
        <f ca="1">--((SUMPRODUCT(C530:C537,WEIGHTS!A694:A701)+WEIGHTS!A702)/100&gt;0)</f>
        <v>#NAME?</v>
      </c>
    </row>
    <row r="531" spans="3:8" x14ac:dyDescent="0.25">
      <c r="C531" t="e">
        <f ca="1">MAX(0,(SUMPRODUCT(BITS!B210:B217,WEIGHTS!B678:B685)+WEIGHTS!A687)/100)</f>
        <v>#NAME?</v>
      </c>
    </row>
    <row r="532" spans="3:8" x14ac:dyDescent="0.25">
      <c r="C532" t="e">
        <f ca="1">MAX(0,(SUMPRODUCT(BITS!B210:B217,WEIGHTS!C678:C685)+WEIGHTS!A688)/100)</f>
        <v>#NAME?</v>
      </c>
    </row>
    <row r="533" spans="3:8" x14ac:dyDescent="0.25">
      <c r="C533" t="e">
        <f ca="1">MAX(0,(SUMPRODUCT(BITS!B210:B217,WEIGHTS!D678:D685)+WEIGHTS!A689)/100)</f>
        <v>#NAME?</v>
      </c>
    </row>
    <row r="534" spans="3:8" x14ac:dyDescent="0.25">
      <c r="C534" t="e">
        <f ca="1">MAX(0,(SUMPRODUCT(BITS!B210:B217,WEIGHTS!E678:E685)+WEIGHTS!A690)/100)</f>
        <v>#NAME?</v>
      </c>
    </row>
    <row r="535" spans="3:8" x14ac:dyDescent="0.25">
      <c r="C535" t="e">
        <f ca="1">MAX(0,(SUMPRODUCT(BITS!B210:B217,WEIGHTS!F678:F685)+WEIGHTS!A691)/100)</f>
        <v>#NAME?</v>
      </c>
    </row>
    <row r="536" spans="3:8" x14ac:dyDescent="0.25">
      <c r="C536" t="e">
        <f ca="1">MAX(0,(SUMPRODUCT(BITS!B210:B217,WEIGHTS!G678:G685)+WEIGHTS!A692)/100)</f>
        <v>#NAME?</v>
      </c>
    </row>
    <row r="537" spans="3:8" x14ac:dyDescent="0.25">
      <c r="C537" t="e">
        <f ca="1">MAX(0,(SUMPRODUCT(BITS!B210:B217,WEIGHTS!H678:H685)+WEIGHTS!A693)/100)</f>
        <v>#NAME?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LLM</vt:lpstr>
      <vt:lpstr>BITS</vt:lpstr>
      <vt:lpstr>WEIGHTS</vt:lpstr>
      <vt:lpstr>VERIFY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BÙI LÊ ANH KHOA</cp:lastModifiedBy>
  <cp:revision>6</cp:revision>
  <dcterms:created xsi:type="dcterms:W3CDTF">2025-09-15T23:43:56Z</dcterms:created>
  <dcterms:modified xsi:type="dcterms:W3CDTF">2025-09-28T12:33:52Z</dcterms:modified>
  <dc:language>en-US</dc:language>
</cp:coreProperties>
</file>